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8422\Desktop\大论文\LE-SBA\ACS\data\FexCy-total-doped-structures\FexCy-total-doped-structures\"/>
    </mc:Choice>
  </mc:AlternateContent>
  <xr:revisionPtr revIDLastSave="0" documentId="13_ncr:1_{1435D240-2546-4800-87AB-47DA916CA8D8}" xr6:coauthVersionLast="47" xr6:coauthVersionMax="47" xr10:uidLastSave="{00000000-0000-0000-0000-000000000000}"/>
  <bookViews>
    <workbookView xWindow="-103" yWindow="-103" windowWidth="22149" windowHeight="13200" activeTab="1" xr2:uid="{00000000-000D-0000-FFFF-FFFF00000000}"/>
  </bookViews>
  <sheets>
    <sheet name="Sheet1" sheetId="1" r:id="rId1"/>
    <sheet name="Sheet2" sheetId="2" r:id="rId2"/>
    <sheet name="BCC" sheetId="6" r:id="rId3"/>
    <sheet name="FCC" sheetId="3" r:id="rId4"/>
    <sheet name="HCP" sheetId="4" r:id="rId5"/>
    <sheet name="Fe2C" sheetId="5" r:id="rId6"/>
    <sheet name="Fe3C" sheetId="7" r:id="rId7"/>
    <sheet name="Fe5C2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O19" i="1"/>
  <c r="L27" i="1"/>
  <c r="I18" i="1"/>
  <c r="F18" i="1"/>
  <c r="C18" i="1"/>
  <c r="R18" i="1"/>
  <c r="B8" i="2"/>
  <c r="Q18" i="1"/>
  <c r="N19" i="1"/>
  <c r="K27" i="1"/>
  <c r="H18" i="1"/>
  <c r="E18" i="1"/>
  <c r="B18" i="1"/>
</calcChain>
</file>

<file path=xl/sharedStrings.xml><?xml version="1.0" encoding="utf-8"?>
<sst xmlns="http://schemas.openxmlformats.org/spreadsheetml/2006/main" count="135" uniqueCount="83">
  <si>
    <t>FCC</t>
    <phoneticPr fontId="1" type="noConversion"/>
  </si>
  <si>
    <t>Fe32C1</t>
  </si>
  <si>
    <t>Fe32C1</t>
    <phoneticPr fontId="1" type="noConversion"/>
  </si>
  <si>
    <t>Fe32C2</t>
  </si>
  <si>
    <t>Fe32C3</t>
  </si>
  <si>
    <t>Fe32C4</t>
  </si>
  <si>
    <t>Fe32C5</t>
  </si>
  <si>
    <t>Fe32C6</t>
  </si>
  <si>
    <t>Fe32C7</t>
  </si>
  <si>
    <t>Fe32C8</t>
  </si>
  <si>
    <t>Fe32C9</t>
  </si>
  <si>
    <t>Fe32C10</t>
  </si>
  <si>
    <t>Fe32C11</t>
  </si>
  <si>
    <t>Fe32C12</t>
  </si>
  <si>
    <t>Fe32C13</t>
  </si>
  <si>
    <t>Fe32C14</t>
  </si>
  <si>
    <t>Fe32C15</t>
  </si>
  <si>
    <t>Fe32C16</t>
  </si>
  <si>
    <t>BCC</t>
    <phoneticPr fontId="1" type="noConversion"/>
  </si>
  <si>
    <t>HCP</t>
    <phoneticPr fontId="1" type="noConversion"/>
  </si>
  <si>
    <t>θ-Fe3C</t>
    <phoneticPr fontId="1" type="noConversion"/>
  </si>
  <si>
    <t>Fe48</t>
    <phoneticPr fontId="1" type="noConversion"/>
  </si>
  <si>
    <t>Fe48C1</t>
    <phoneticPr fontId="1" type="noConversion"/>
  </si>
  <si>
    <t>Fe48C2</t>
  </si>
  <si>
    <t>Fe48C3</t>
  </si>
  <si>
    <t>Fe48C4</t>
  </si>
  <si>
    <t>Fe48C5</t>
  </si>
  <si>
    <t>Fe48C6</t>
  </si>
  <si>
    <t>Fe48C7</t>
  </si>
  <si>
    <t>Fe48C8</t>
  </si>
  <si>
    <t>Fe48C9</t>
  </si>
  <si>
    <t>Fe48C10</t>
  </si>
  <si>
    <t>Fe48C11</t>
  </si>
  <si>
    <t>Fe48C12</t>
  </si>
  <si>
    <t>Fe48C13</t>
  </si>
  <si>
    <t>Fe48C14</t>
  </si>
  <si>
    <t>Fe48C15</t>
  </si>
  <si>
    <t>Fe48C16</t>
  </si>
  <si>
    <t>Fe48C17</t>
  </si>
  <si>
    <t>Fe48C18</t>
  </si>
  <si>
    <t>Fe48C19</t>
  </si>
  <si>
    <t>Fe48C20</t>
  </si>
  <si>
    <t>Fe48C21</t>
  </si>
  <si>
    <t>Fe48C22</t>
  </si>
  <si>
    <t>Fe48C23</t>
  </si>
  <si>
    <t>Fe48C24</t>
  </si>
  <si>
    <r>
      <t>χ-Fe5C</t>
    </r>
    <r>
      <rPr>
        <b/>
        <sz val="11"/>
        <color theme="1"/>
        <rFont val="微软雅黑"/>
        <family val="1"/>
        <charset val="134"/>
      </rPr>
      <t>2</t>
    </r>
    <phoneticPr fontId="1" type="noConversion"/>
  </si>
  <si>
    <t>Fe40</t>
    <phoneticPr fontId="1" type="noConversion"/>
  </si>
  <si>
    <t>Fe40C1</t>
    <phoneticPr fontId="1" type="noConversion"/>
  </si>
  <si>
    <t>Fe40C2</t>
  </si>
  <si>
    <t>Fe40C3</t>
  </si>
  <si>
    <t>Fe40C4</t>
  </si>
  <si>
    <t>Fe40C5</t>
  </si>
  <si>
    <t>Fe40C6</t>
  </si>
  <si>
    <t>Fe40C7</t>
  </si>
  <si>
    <t>Fe40C8</t>
  </si>
  <si>
    <t>Fe40C9</t>
  </si>
  <si>
    <t>Fe40C10</t>
  </si>
  <si>
    <t>Fe40C11</t>
  </si>
  <si>
    <t>Fe40C12</t>
  </si>
  <si>
    <t>Fe40C13</t>
  </si>
  <si>
    <t>Fe40C14</t>
  </si>
  <si>
    <t>Fe40C15</t>
  </si>
  <si>
    <t>Fe40C16</t>
  </si>
  <si>
    <t>η-Fe2C</t>
    <phoneticPr fontId="1" type="noConversion"/>
  </si>
  <si>
    <t>χ-Fe5C2</t>
    <phoneticPr fontId="1" type="noConversion"/>
  </si>
  <si>
    <t>Disordered-structures</t>
    <phoneticPr fontId="1" type="noConversion"/>
  </si>
  <si>
    <t>SBA-filter</t>
    <phoneticPr fontId="1" type="noConversion"/>
  </si>
  <si>
    <t>eta-Fe2C</t>
  </si>
  <si>
    <t>eta-Fe2C-MD</t>
  </si>
  <si>
    <t>theta-Fe3C</t>
  </si>
  <si>
    <t>theta-Fe3C-MD</t>
  </si>
  <si>
    <t>Fe5C2</t>
  </si>
  <si>
    <t>Fe5C2-MD</t>
  </si>
  <si>
    <t>BCC-C-OPT</t>
  </si>
  <si>
    <t>BCC-C-MD</t>
  </si>
  <si>
    <t>FCC-C-OPT</t>
  </si>
  <si>
    <t>FCC-C-MD</t>
  </si>
  <si>
    <t>HCP-C-OPT</t>
  </si>
  <si>
    <t>HCP-C-MD</t>
  </si>
  <si>
    <t>total</t>
    <phoneticPr fontId="1" type="noConversion"/>
  </si>
  <si>
    <t>Fe7C3</t>
    <phoneticPr fontId="1" type="noConversion"/>
  </si>
  <si>
    <t>Yuan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</si>
</sst>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微软雅黑"/>
      <family val="1"/>
      <charset val="134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>
      <alignment vertical="center"/>
    </xf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FCC!$F$1:$F$935</c:f>
              <c:numCache>
                <c:formatCode>General</c:formatCode>
                <c:ptCount val="9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C7D-41EF-AEA2-893535F9B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5447983"/>
        <c:axId val="1975448463"/>
      </c:scatterChart>
      <c:valAx>
        <c:axId val="197544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448463"/>
        <c:crosses val="autoZero"/>
        <c:crossBetween val="midCat"/>
      </c:valAx>
      <c:valAx>
        <c:axId val="19754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7544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FCC!$F$1:$F$935</c:f>
              <c:numCache>
                <c:formatCode>General</c:formatCode>
                <c:ptCount val="93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88-4982-A270-547FE0988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210895"/>
        <c:axId val="1493213775"/>
      </c:scatterChart>
      <c:valAx>
        <c:axId val="1493210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213775"/>
        <c:crosses val="autoZero"/>
        <c:crossBetween val="midCat"/>
      </c:valAx>
      <c:valAx>
        <c:axId val="1493213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2108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Fe2C!$G$1:$G$1457</c:f>
              <c:numCache>
                <c:formatCode>General</c:formatCode>
                <c:ptCount val="14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5A-4B5D-982B-945E9A4D1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2605919"/>
        <c:axId val="1492599199"/>
      </c:scatterChart>
      <c:valAx>
        <c:axId val="1492605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2599199"/>
        <c:crosses val="autoZero"/>
        <c:crossBetween val="midCat"/>
      </c:valAx>
      <c:valAx>
        <c:axId val="149259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2605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Fe2C!$H$1:$H$1457</c:f>
              <c:numCache>
                <c:formatCode>General</c:formatCode>
                <c:ptCount val="1457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82-48D1-AB48-FDCE2BB16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207055"/>
        <c:axId val="1493205615"/>
      </c:scatterChart>
      <c:valAx>
        <c:axId val="1493207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205615"/>
        <c:crosses val="autoZero"/>
        <c:crossBetween val="midCat"/>
      </c:valAx>
      <c:valAx>
        <c:axId val="149320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93207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200704</xdr:colOff>
      <xdr:row>1</xdr:row>
      <xdr:rowOff>46944</xdr:rowOff>
    </xdr:from>
    <xdr:to>
      <xdr:col>14</xdr:col>
      <xdr:colOff>588508</xdr:colOff>
      <xdr:row>16</xdr:row>
      <xdr:rowOff>85724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2552924-5814-BCF1-5F9C-32F3674CDD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312965</xdr:colOff>
      <xdr:row>185</xdr:row>
      <xdr:rowOff>162604</xdr:rowOff>
    </xdr:from>
    <xdr:to>
      <xdr:col>15</xdr:col>
      <xdr:colOff>3403</xdr:colOff>
      <xdr:row>201</xdr:row>
      <xdr:rowOff>21090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66C5779-2EDE-187D-D8E9-0B1B29EE67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118186</xdr:colOff>
      <xdr:row>1442</xdr:row>
      <xdr:rowOff>93304</xdr:rowOff>
    </xdr:from>
    <xdr:to>
      <xdr:col>15</xdr:col>
      <xdr:colOff>77753</xdr:colOff>
      <xdr:row>1454</xdr:row>
      <xdr:rowOff>27989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16C8D7-2EB3-08D5-E743-A4DD94F7DF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164841</xdr:colOff>
      <xdr:row>1451</xdr:row>
      <xdr:rowOff>43543</xdr:rowOff>
    </xdr:from>
    <xdr:to>
      <xdr:col>15</xdr:col>
      <xdr:colOff>556727</xdr:colOff>
      <xdr:row>1466</xdr:row>
      <xdr:rowOff>80865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78B885E0-2FBE-534F-6DE2-B6A6037AC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opLeftCell="G6" zoomScale="175" zoomScaleNormal="175" workbookViewId="0">
      <selection activeCell="O2" sqref="O2:O19"/>
    </sheetView>
  </sheetViews>
  <sheetFormatPr defaultRowHeight="14.15" x14ac:dyDescent="0.35"/>
  <cols>
    <col min="1" max="16384" width="9.140625" style="1"/>
  </cols>
  <sheetData>
    <row r="1" spans="1:18" ht="15.45" x14ac:dyDescent="0.35">
      <c r="A1" s="2" t="s">
        <v>0</v>
      </c>
      <c r="D1" s="2" t="s">
        <v>18</v>
      </c>
      <c r="G1" s="2" t="s">
        <v>19</v>
      </c>
      <c r="J1" s="2" t="s">
        <v>20</v>
      </c>
      <c r="M1" s="2" t="s">
        <v>46</v>
      </c>
      <c r="P1" s="2" t="s">
        <v>64</v>
      </c>
    </row>
    <row r="2" spans="1:18" x14ac:dyDescent="0.35">
      <c r="A2" s="1" t="s">
        <v>2</v>
      </c>
      <c r="B2" s="1">
        <v>1</v>
      </c>
      <c r="C2" s="1">
        <v>1</v>
      </c>
      <c r="D2" s="1" t="s">
        <v>2</v>
      </c>
      <c r="E2" s="1">
        <v>1</v>
      </c>
      <c r="F2" s="1">
        <v>1</v>
      </c>
      <c r="G2" s="1" t="s">
        <v>1</v>
      </c>
      <c r="H2" s="1">
        <v>1</v>
      </c>
      <c r="I2" s="1">
        <v>1</v>
      </c>
      <c r="J2" s="1" t="s">
        <v>21</v>
      </c>
      <c r="K2" s="1">
        <v>1</v>
      </c>
      <c r="L2" s="1">
        <v>1</v>
      </c>
      <c r="M2" s="1" t="s">
        <v>47</v>
      </c>
      <c r="N2" s="1">
        <v>1</v>
      </c>
      <c r="O2" s="1">
        <v>1</v>
      </c>
      <c r="P2" s="1" t="s">
        <v>1</v>
      </c>
      <c r="Q2" s="1">
        <v>1</v>
      </c>
      <c r="R2" s="1">
        <v>1</v>
      </c>
    </row>
    <row r="3" spans="1:18" x14ac:dyDescent="0.35">
      <c r="A3" s="1" t="s">
        <v>3</v>
      </c>
      <c r="B3" s="1">
        <v>7</v>
      </c>
      <c r="C3" s="1">
        <v>1</v>
      </c>
      <c r="D3" s="1" t="s">
        <v>3</v>
      </c>
      <c r="E3" s="1">
        <v>11</v>
      </c>
      <c r="F3" s="1">
        <v>3</v>
      </c>
      <c r="G3" s="1" t="s">
        <v>3</v>
      </c>
      <c r="H3" s="1">
        <v>9</v>
      </c>
      <c r="I3" s="1">
        <v>3</v>
      </c>
      <c r="J3" s="1" t="s">
        <v>22</v>
      </c>
      <c r="K3" s="1">
        <v>1</v>
      </c>
      <c r="L3" s="1">
        <v>1</v>
      </c>
      <c r="M3" s="1" t="s">
        <v>48</v>
      </c>
      <c r="N3" s="1">
        <v>1</v>
      </c>
      <c r="O3" s="1">
        <v>1</v>
      </c>
      <c r="P3" s="1" t="s">
        <v>3</v>
      </c>
      <c r="Q3" s="1">
        <v>8</v>
      </c>
      <c r="R3" s="1">
        <v>3</v>
      </c>
    </row>
    <row r="4" spans="1:18" x14ac:dyDescent="0.35">
      <c r="A4" s="1" t="s">
        <v>4</v>
      </c>
      <c r="B4" s="1">
        <v>10</v>
      </c>
      <c r="C4" s="1">
        <v>1</v>
      </c>
      <c r="D4" s="1" t="s">
        <v>4</v>
      </c>
      <c r="E4" s="1">
        <v>23</v>
      </c>
      <c r="F4" s="1">
        <v>4</v>
      </c>
      <c r="G4" s="1" t="s">
        <v>4</v>
      </c>
      <c r="H4" s="1">
        <v>23</v>
      </c>
      <c r="I4" s="1">
        <v>3</v>
      </c>
      <c r="J4" s="1" t="s">
        <v>23</v>
      </c>
      <c r="K4" s="1">
        <v>11</v>
      </c>
      <c r="L4" s="1">
        <v>4</v>
      </c>
      <c r="M4" s="1" t="s">
        <v>49</v>
      </c>
      <c r="N4" s="1">
        <v>13</v>
      </c>
      <c r="O4" s="1">
        <v>7</v>
      </c>
      <c r="P4" s="1" t="s">
        <v>4</v>
      </c>
      <c r="Q4" s="1">
        <v>17</v>
      </c>
      <c r="R4" s="1">
        <v>4</v>
      </c>
    </row>
    <row r="5" spans="1:18" x14ac:dyDescent="0.35">
      <c r="A5" s="1" t="s">
        <v>5</v>
      </c>
      <c r="B5" s="1">
        <v>58</v>
      </c>
      <c r="C5" s="1">
        <v>4</v>
      </c>
      <c r="D5" s="1" t="s">
        <v>5</v>
      </c>
      <c r="E5" s="1">
        <v>88</v>
      </c>
      <c r="F5" s="1">
        <v>6</v>
      </c>
      <c r="G5" s="1" t="s">
        <v>5</v>
      </c>
      <c r="H5" s="1">
        <v>82</v>
      </c>
      <c r="I5" s="1">
        <v>4</v>
      </c>
      <c r="J5" s="1" t="s">
        <v>24</v>
      </c>
      <c r="K5" s="1">
        <v>35</v>
      </c>
      <c r="L5" s="1">
        <v>4</v>
      </c>
      <c r="M5" s="1" t="s">
        <v>50</v>
      </c>
      <c r="N5" s="1">
        <v>35</v>
      </c>
      <c r="O5" s="1">
        <v>7</v>
      </c>
      <c r="P5" s="1" t="s">
        <v>5</v>
      </c>
      <c r="Q5" s="1">
        <v>59</v>
      </c>
      <c r="R5" s="1">
        <v>4</v>
      </c>
    </row>
    <row r="6" spans="1:18" x14ac:dyDescent="0.35">
      <c r="A6" s="1" t="s">
        <v>6</v>
      </c>
      <c r="B6" s="1">
        <v>96</v>
      </c>
      <c r="C6" s="1">
        <v>3</v>
      </c>
      <c r="D6" s="1" t="s">
        <v>6</v>
      </c>
      <c r="E6" s="1">
        <v>157</v>
      </c>
      <c r="F6" s="1">
        <v>4</v>
      </c>
      <c r="G6" s="1" t="s">
        <v>6</v>
      </c>
      <c r="H6" s="1">
        <v>157</v>
      </c>
      <c r="I6" s="1">
        <v>3</v>
      </c>
      <c r="J6" s="1" t="s">
        <v>25</v>
      </c>
      <c r="K6" s="1">
        <v>128</v>
      </c>
      <c r="L6" s="1">
        <v>2</v>
      </c>
      <c r="M6" s="1" t="s">
        <v>51</v>
      </c>
      <c r="N6" s="1">
        <v>134</v>
      </c>
      <c r="O6" s="1">
        <v>6</v>
      </c>
      <c r="P6" s="1" t="s">
        <v>6</v>
      </c>
      <c r="Q6" s="1">
        <v>99</v>
      </c>
      <c r="R6" s="1">
        <v>3</v>
      </c>
    </row>
    <row r="7" spans="1:18" x14ac:dyDescent="0.35">
      <c r="A7" s="1" t="s">
        <v>7</v>
      </c>
      <c r="B7" s="1">
        <v>98</v>
      </c>
      <c r="C7" s="1">
        <v>2</v>
      </c>
      <c r="D7" s="1" t="s">
        <v>7</v>
      </c>
      <c r="E7" s="1">
        <v>317</v>
      </c>
      <c r="F7" s="1">
        <v>4</v>
      </c>
      <c r="G7" s="1" t="s">
        <v>7</v>
      </c>
      <c r="H7" s="1">
        <v>303</v>
      </c>
      <c r="I7" s="1">
        <v>5</v>
      </c>
      <c r="J7" s="1" t="s">
        <v>26</v>
      </c>
      <c r="K7" s="1">
        <v>273</v>
      </c>
      <c r="L7" s="1">
        <v>1</v>
      </c>
      <c r="M7" s="1" t="s">
        <v>52</v>
      </c>
      <c r="N7" s="1">
        <v>273</v>
      </c>
      <c r="O7" s="1">
        <v>6</v>
      </c>
      <c r="P7" s="1" t="s">
        <v>7</v>
      </c>
      <c r="Q7" s="1">
        <v>192</v>
      </c>
      <c r="R7" s="1">
        <v>4</v>
      </c>
    </row>
    <row r="8" spans="1:18" x14ac:dyDescent="0.35">
      <c r="A8" s="1" t="s">
        <v>8</v>
      </c>
      <c r="B8" s="1">
        <v>154</v>
      </c>
      <c r="C8" s="1">
        <v>2</v>
      </c>
      <c r="D8" s="1" t="s">
        <v>8</v>
      </c>
      <c r="E8" s="1">
        <v>395</v>
      </c>
      <c r="F8" s="1">
        <v>4</v>
      </c>
      <c r="G8" s="1" t="s">
        <v>8</v>
      </c>
      <c r="H8" s="1">
        <v>395</v>
      </c>
      <c r="I8" s="1">
        <v>4</v>
      </c>
      <c r="J8" s="1" t="s">
        <v>27</v>
      </c>
      <c r="K8" s="1">
        <v>525</v>
      </c>
      <c r="L8" s="1">
        <v>2</v>
      </c>
      <c r="M8" s="1" t="s">
        <v>53</v>
      </c>
      <c r="N8" s="1">
        <v>539</v>
      </c>
      <c r="O8" s="1">
        <v>7</v>
      </c>
      <c r="P8" s="1" t="s">
        <v>8</v>
      </c>
      <c r="Q8" s="1">
        <v>235</v>
      </c>
      <c r="R8" s="1">
        <v>3</v>
      </c>
    </row>
    <row r="9" spans="1:18" x14ac:dyDescent="0.35">
      <c r="A9" s="1" t="s">
        <v>9</v>
      </c>
      <c r="B9" s="1">
        <v>260</v>
      </c>
      <c r="C9" s="1">
        <v>2</v>
      </c>
      <c r="D9" s="1" t="s">
        <v>9</v>
      </c>
      <c r="E9" s="1">
        <v>490</v>
      </c>
      <c r="F9" s="1">
        <v>3</v>
      </c>
      <c r="G9" s="1" t="s">
        <v>9</v>
      </c>
      <c r="H9" s="1">
        <v>474</v>
      </c>
      <c r="I9" s="1">
        <v>2</v>
      </c>
      <c r="J9" s="1" t="s">
        <v>28</v>
      </c>
      <c r="K9" s="1">
        <v>715</v>
      </c>
      <c r="L9" s="1">
        <v>2</v>
      </c>
      <c r="M9" s="1" t="s">
        <v>54</v>
      </c>
      <c r="N9" s="1">
        <v>715</v>
      </c>
      <c r="O9" s="1">
        <v>5</v>
      </c>
      <c r="P9" s="1" t="s">
        <v>9</v>
      </c>
      <c r="Q9" s="1">
        <v>292</v>
      </c>
      <c r="R9" s="1">
        <v>4</v>
      </c>
    </row>
    <row r="10" spans="1:18" x14ac:dyDescent="0.35">
      <c r="A10" s="1" t="s">
        <v>10</v>
      </c>
      <c r="B10" s="1">
        <v>154</v>
      </c>
      <c r="C10" s="1">
        <v>1</v>
      </c>
      <c r="D10" s="1" t="s">
        <v>10</v>
      </c>
      <c r="E10" s="1">
        <v>395</v>
      </c>
      <c r="F10" s="1">
        <v>3</v>
      </c>
      <c r="G10" s="1" t="s">
        <v>10</v>
      </c>
      <c r="H10" s="1">
        <v>395</v>
      </c>
      <c r="I10" s="1">
        <v>2</v>
      </c>
      <c r="J10" s="1" t="s">
        <v>29</v>
      </c>
      <c r="K10" s="1">
        <v>838</v>
      </c>
      <c r="L10" s="1">
        <v>2</v>
      </c>
      <c r="M10" s="1" t="s">
        <v>55</v>
      </c>
      <c r="N10" s="1">
        <v>854</v>
      </c>
      <c r="O10" s="1">
        <v>5</v>
      </c>
      <c r="P10" s="1" t="s">
        <v>10</v>
      </c>
      <c r="Q10" s="1">
        <v>235</v>
      </c>
      <c r="R10" s="1">
        <v>1</v>
      </c>
    </row>
    <row r="11" spans="1:18" x14ac:dyDescent="0.35">
      <c r="A11" s="1" t="s">
        <v>11</v>
      </c>
      <c r="B11" s="1">
        <v>122</v>
      </c>
      <c r="C11" s="1">
        <v>2</v>
      </c>
      <c r="D11" s="1" t="s">
        <v>11</v>
      </c>
      <c r="E11" s="1">
        <v>317</v>
      </c>
      <c r="F11" s="1">
        <v>3</v>
      </c>
      <c r="G11" s="1" t="s">
        <v>11</v>
      </c>
      <c r="H11" s="1">
        <v>303</v>
      </c>
      <c r="I11" s="1">
        <v>4</v>
      </c>
      <c r="J11" s="1" t="s">
        <v>30</v>
      </c>
      <c r="K11" s="1">
        <v>715</v>
      </c>
      <c r="L11" s="1">
        <v>2</v>
      </c>
      <c r="M11" s="1" t="s">
        <v>56</v>
      </c>
      <c r="N11" s="1">
        <v>715</v>
      </c>
      <c r="O11" s="1">
        <v>6</v>
      </c>
      <c r="P11" s="1" t="s">
        <v>11</v>
      </c>
      <c r="Q11" s="1">
        <v>192</v>
      </c>
      <c r="R11" s="1">
        <v>2</v>
      </c>
    </row>
    <row r="12" spans="1:18" x14ac:dyDescent="0.35">
      <c r="A12" s="1" t="s">
        <v>12</v>
      </c>
      <c r="B12" s="1">
        <v>70</v>
      </c>
      <c r="C12" s="1">
        <v>2</v>
      </c>
      <c r="D12" s="1" t="s">
        <v>12</v>
      </c>
      <c r="E12" s="1">
        <v>157</v>
      </c>
      <c r="F12" s="1">
        <v>3</v>
      </c>
      <c r="G12" s="1" t="s">
        <v>12</v>
      </c>
      <c r="H12" s="1">
        <v>157</v>
      </c>
      <c r="I12" s="1">
        <v>5</v>
      </c>
      <c r="J12" s="1" t="s">
        <v>31</v>
      </c>
      <c r="K12" s="1">
        <v>525</v>
      </c>
      <c r="L12" s="1">
        <v>2</v>
      </c>
      <c r="M12" s="1" t="s">
        <v>57</v>
      </c>
      <c r="N12" s="1">
        <v>539</v>
      </c>
      <c r="O12" s="1">
        <v>6</v>
      </c>
      <c r="P12" s="1" t="s">
        <v>12</v>
      </c>
      <c r="Q12" s="1">
        <v>99</v>
      </c>
      <c r="R12" s="1">
        <v>2</v>
      </c>
    </row>
    <row r="13" spans="1:18" x14ac:dyDescent="0.35">
      <c r="A13" s="1" t="s">
        <v>13</v>
      </c>
      <c r="B13" s="1">
        <v>58</v>
      </c>
      <c r="C13" s="1">
        <v>2</v>
      </c>
      <c r="D13" s="1" t="s">
        <v>13</v>
      </c>
      <c r="E13" s="1">
        <v>88</v>
      </c>
      <c r="F13" s="1">
        <v>5</v>
      </c>
      <c r="G13" s="1" t="s">
        <v>13</v>
      </c>
      <c r="H13" s="1">
        <v>82</v>
      </c>
      <c r="I13" s="1">
        <v>4</v>
      </c>
      <c r="J13" s="1" t="s">
        <v>32</v>
      </c>
      <c r="K13" s="1">
        <v>273</v>
      </c>
      <c r="L13" s="1">
        <v>2</v>
      </c>
      <c r="M13" s="1" t="s">
        <v>58</v>
      </c>
      <c r="N13" s="1">
        <v>273</v>
      </c>
      <c r="O13" s="1">
        <v>5</v>
      </c>
      <c r="P13" s="1" t="s">
        <v>13</v>
      </c>
      <c r="Q13" s="1">
        <v>59</v>
      </c>
      <c r="R13" s="1">
        <v>2</v>
      </c>
    </row>
    <row r="14" spans="1:18" x14ac:dyDescent="0.35">
      <c r="A14" s="1" t="s">
        <v>14</v>
      </c>
      <c r="B14" s="1">
        <v>10</v>
      </c>
      <c r="C14" s="1">
        <v>2</v>
      </c>
      <c r="D14" s="1" t="s">
        <v>14</v>
      </c>
      <c r="E14" s="1">
        <v>23</v>
      </c>
      <c r="F14" s="1">
        <v>4</v>
      </c>
      <c r="G14" s="1" t="s">
        <v>14</v>
      </c>
      <c r="H14" s="1">
        <v>23</v>
      </c>
      <c r="I14" s="1">
        <v>3</v>
      </c>
      <c r="J14" s="1" t="s">
        <v>33</v>
      </c>
      <c r="K14" s="1">
        <v>128</v>
      </c>
      <c r="L14" s="1">
        <v>2</v>
      </c>
      <c r="M14" s="1" t="s">
        <v>59</v>
      </c>
      <c r="N14" s="1">
        <v>134</v>
      </c>
      <c r="O14" s="1">
        <v>7</v>
      </c>
      <c r="P14" s="1" t="s">
        <v>14</v>
      </c>
      <c r="Q14" s="1">
        <v>17</v>
      </c>
      <c r="R14" s="1">
        <v>1</v>
      </c>
    </row>
    <row r="15" spans="1:18" x14ac:dyDescent="0.35">
      <c r="A15" s="1" t="s">
        <v>15</v>
      </c>
      <c r="B15" s="1">
        <v>2</v>
      </c>
      <c r="C15" s="1">
        <v>1</v>
      </c>
      <c r="D15" s="1" t="s">
        <v>15</v>
      </c>
      <c r="E15" s="1">
        <v>11</v>
      </c>
      <c r="F15" s="1">
        <v>3</v>
      </c>
      <c r="G15" s="1" t="s">
        <v>15</v>
      </c>
      <c r="H15" s="1">
        <v>9</v>
      </c>
      <c r="I15" s="1">
        <v>2</v>
      </c>
      <c r="J15" s="1" t="s">
        <v>34</v>
      </c>
      <c r="K15" s="1">
        <v>35</v>
      </c>
      <c r="L15" s="1">
        <v>2</v>
      </c>
      <c r="M15" s="1" t="s">
        <v>60</v>
      </c>
      <c r="N15" s="1">
        <v>35</v>
      </c>
      <c r="O15" s="1">
        <v>7</v>
      </c>
      <c r="P15" s="1" t="s">
        <v>15</v>
      </c>
      <c r="Q15" s="1">
        <v>8</v>
      </c>
      <c r="R15" s="1">
        <v>1</v>
      </c>
    </row>
    <row r="16" spans="1:18" x14ac:dyDescent="0.35">
      <c r="A16" s="1" t="s">
        <v>16</v>
      </c>
      <c r="B16" s="1">
        <v>1</v>
      </c>
      <c r="C16" s="1">
        <v>1</v>
      </c>
      <c r="D16" s="1" t="s">
        <v>16</v>
      </c>
      <c r="E16" s="1">
        <v>1</v>
      </c>
      <c r="F16" s="1">
        <v>1</v>
      </c>
      <c r="G16" s="1" t="s">
        <v>16</v>
      </c>
      <c r="H16" s="1">
        <v>1</v>
      </c>
      <c r="I16" s="1">
        <v>1</v>
      </c>
      <c r="J16" s="1" t="s">
        <v>35</v>
      </c>
      <c r="K16" s="1">
        <v>11</v>
      </c>
      <c r="L16" s="1">
        <v>4</v>
      </c>
      <c r="M16" s="1" t="s">
        <v>61</v>
      </c>
      <c r="N16" s="1">
        <v>13</v>
      </c>
      <c r="O16" s="1">
        <v>7</v>
      </c>
      <c r="P16" s="1" t="s">
        <v>16</v>
      </c>
      <c r="Q16" s="1">
        <v>1</v>
      </c>
      <c r="R16" s="1">
        <v>1</v>
      </c>
    </row>
    <row r="17" spans="1:18" x14ac:dyDescent="0.35">
      <c r="A17" s="1" t="s">
        <v>17</v>
      </c>
      <c r="B17" s="1">
        <v>1</v>
      </c>
      <c r="C17" s="1">
        <v>1</v>
      </c>
      <c r="D17" s="1" t="s">
        <v>17</v>
      </c>
      <c r="E17" s="1">
        <v>1</v>
      </c>
      <c r="F17" s="1">
        <v>1</v>
      </c>
      <c r="G17" s="1" t="s">
        <v>17</v>
      </c>
      <c r="H17" s="1">
        <v>1</v>
      </c>
      <c r="I17" s="1">
        <v>1</v>
      </c>
      <c r="J17" s="1" t="s">
        <v>36</v>
      </c>
      <c r="K17" s="1">
        <v>1</v>
      </c>
      <c r="L17" s="1">
        <v>1</v>
      </c>
      <c r="M17" s="1" t="s">
        <v>62</v>
      </c>
      <c r="N17" s="1">
        <v>1</v>
      </c>
      <c r="O17" s="1">
        <v>1</v>
      </c>
      <c r="P17" s="1" t="s">
        <v>17</v>
      </c>
      <c r="Q17" s="1">
        <v>1</v>
      </c>
      <c r="R17" s="1">
        <v>1</v>
      </c>
    </row>
    <row r="18" spans="1:18" x14ac:dyDescent="0.35">
      <c r="B18" s="2">
        <f>SUM(B2:B17)</f>
        <v>1102</v>
      </c>
      <c r="C18" s="2">
        <f>SUM(C2:C17)</f>
        <v>28</v>
      </c>
      <c r="E18" s="2">
        <f>SUM(E2:E17)</f>
        <v>2475</v>
      </c>
      <c r="F18" s="2">
        <f>SUM(F2:F17)</f>
        <v>52</v>
      </c>
      <c r="H18" s="2">
        <f>SUM(H2:H17)</f>
        <v>2415</v>
      </c>
      <c r="I18" s="2">
        <f>SUM(I2:I17)</f>
        <v>47</v>
      </c>
      <c r="J18" s="1" t="s">
        <v>37</v>
      </c>
      <c r="K18" s="1">
        <v>1</v>
      </c>
      <c r="L18" s="1">
        <v>1</v>
      </c>
      <c r="M18" s="1" t="s">
        <v>63</v>
      </c>
      <c r="N18" s="1">
        <v>1</v>
      </c>
      <c r="O18" s="1">
        <v>1</v>
      </c>
      <c r="Q18" s="2">
        <f>SUM(Q2:Q17)</f>
        <v>1515</v>
      </c>
      <c r="R18" s="3">
        <f>SUM(R2:R17)</f>
        <v>37</v>
      </c>
    </row>
    <row r="19" spans="1:18" x14ac:dyDescent="0.35">
      <c r="J19" s="1" t="s">
        <v>38</v>
      </c>
      <c r="K19" s="1">
        <v>1</v>
      </c>
      <c r="L19" s="1">
        <v>1</v>
      </c>
      <c r="N19" s="2">
        <f>SUM(N2:N18)</f>
        <v>4276</v>
      </c>
      <c r="O19" s="2">
        <f>SUM(O2:O18)</f>
        <v>85</v>
      </c>
    </row>
    <row r="20" spans="1:18" x14ac:dyDescent="0.35">
      <c r="J20" s="1" t="s">
        <v>39</v>
      </c>
      <c r="K20" s="1">
        <v>9</v>
      </c>
      <c r="L20" s="1">
        <v>2</v>
      </c>
    </row>
    <row r="21" spans="1:18" x14ac:dyDescent="0.35">
      <c r="J21" s="1" t="s">
        <v>40</v>
      </c>
      <c r="K21" s="1">
        <v>23</v>
      </c>
      <c r="L21" s="1">
        <v>2</v>
      </c>
    </row>
    <row r="22" spans="1:18" x14ac:dyDescent="0.35">
      <c r="J22" s="1" t="s">
        <v>41</v>
      </c>
      <c r="K22" s="1">
        <v>82</v>
      </c>
      <c r="L22" s="1">
        <v>2</v>
      </c>
    </row>
    <row r="23" spans="1:18" x14ac:dyDescent="0.35">
      <c r="J23" s="1" t="s">
        <v>42</v>
      </c>
      <c r="K23" s="1">
        <v>157</v>
      </c>
      <c r="L23" s="1">
        <v>2</v>
      </c>
    </row>
    <row r="24" spans="1:18" x14ac:dyDescent="0.35">
      <c r="J24" s="1" t="s">
        <v>43</v>
      </c>
      <c r="K24" s="1">
        <v>303</v>
      </c>
      <c r="L24" s="1">
        <v>2</v>
      </c>
    </row>
    <row r="25" spans="1:18" x14ac:dyDescent="0.35">
      <c r="J25" s="1" t="s">
        <v>44</v>
      </c>
      <c r="K25" s="1">
        <v>395</v>
      </c>
      <c r="L25" s="1">
        <v>2</v>
      </c>
    </row>
    <row r="26" spans="1:18" x14ac:dyDescent="0.35">
      <c r="J26" s="1" t="s">
        <v>45</v>
      </c>
      <c r="K26" s="1">
        <v>474</v>
      </c>
      <c r="L26" s="1">
        <v>2</v>
      </c>
    </row>
    <row r="27" spans="1:18" x14ac:dyDescent="0.35">
      <c r="K27" s="2">
        <f>SUM(K2:K26)</f>
        <v>5660</v>
      </c>
      <c r="L27" s="2">
        <f>SUM(L2:L26)</f>
        <v>50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FDDC-F77A-4254-B5D4-7C4EE1A7D2FF}">
  <dimension ref="A1:C8"/>
  <sheetViews>
    <sheetView tabSelected="1" zoomScale="175" zoomScaleNormal="175" workbookViewId="0">
      <selection activeCell="D8" sqref="D8"/>
    </sheetView>
  </sheetViews>
  <sheetFormatPr defaultRowHeight="14.15" x14ac:dyDescent="0.35"/>
  <cols>
    <col min="1" max="1" width="9.140625" style="1"/>
    <col min="2" max="2" width="11.640625" style="1" customWidth="1"/>
    <col min="3" max="5" width="9.140625" style="1"/>
    <col min="6" max="6" width="16.140625" style="1" customWidth="1"/>
    <col min="7" max="16384" width="9.140625" style="1"/>
  </cols>
  <sheetData>
    <row r="1" spans="1:3" ht="28.3" x14ac:dyDescent="0.35">
      <c r="B1" s="6" t="s">
        <v>66</v>
      </c>
      <c r="C1" s="1" t="s">
        <v>67</v>
      </c>
    </row>
    <row r="2" spans="1:3" x14ac:dyDescent="0.35">
      <c r="A2" s="2" t="s">
        <v>0</v>
      </c>
      <c r="B2" s="1">
        <v>1102</v>
      </c>
      <c r="C2" s="1">
        <v>28</v>
      </c>
    </row>
    <row r="3" spans="1:3" x14ac:dyDescent="0.35">
      <c r="A3" s="2" t="s">
        <v>18</v>
      </c>
      <c r="B3" s="1">
        <v>2475</v>
      </c>
      <c r="C3" s="1">
        <v>52</v>
      </c>
    </row>
    <row r="4" spans="1:3" x14ac:dyDescent="0.35">
      <c r="A4" s="2" t="s">
        <v>18</v>
      </c>
      <c r="B4" s="1">
        <v>2415</v>
      </c>
      <c r="C4" s="1">
        <v>47</v>
      </c>
    </row>
    <row r="5" spans="1:3" x14ac:dyDescent="0.35">
      <c r="A5" s="2" t="s">
        <v>20</v>
      </c>
      <c r="B5" s="1">
        <v>5660</v>
      </c>
      <c r="C5" s="1">
        <v>50</v>
      </c>
    </row>
    <row r="6" spans="1:3" x14ac:dyDescent="0.35">
      <c r="A6" s="2" t="s">
        <v>65</v>
      </c>
      <c r="B6" s="1">
        <v>4276</v>
      </c>
      <c r="C6" s="1">
        <v>85</v>
      </c>
    </row>
    <row r="7" spans="1:3" x14ac:dyDescent="0.35">
      <c r="A7" s="2" t="s">
        <v>64</v>
      </c>
      <c r="B7" s="1">
        <v>1515</v>
      </c>
      <c r="C7" s="1">
        <v>37</v>
      </c>
    </row>
    <row r="8" spans="1:3" x14ac:dyDescent="0.35">
      <c r="B8" s="2">
        <f>SUM(B2:B7)</f>
        <v>17443</v>
      </c>
      <c r="C8" s="2">
        <f>SUM(C2:C7)</f>
        <v>299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D209-7665-467E-99B7-3DBE4F4AB26A}">
  <dimension ref="A1:I14"/>
  <sheetViews>
    <sheetView topLeftCell="A7" zoomScale="170" zoomScaleNormal="170" workbookViewId="0">
      <selection activeCell="G17" sqref="G17"/>
    </sheetView>
  </sheetViews>
  <sheetFormatPr defaultRowHeight="14.15" x14ac:dyDescent="0.35"/>
  <cols>
    <col min="1" max="1" width="13.42578125" style="1" customWidth="1"/>
    <col min="2" max="16384" width="9.140625" style="1"/>
  </cols>
  <sheetData>
    <row r="1" spans="1:9" x14ac:dyDescent="0.35">
      <c r="A1" s="1" t="s">
        <v>68</v>
      </c>
      <c r="B1" s="1">
        <v>6162</v>
      </c>
      <c r="D1" s="1">
        <v>2</v>
      </c>
      <c r="E1" s="1">
        <v>2.2999999999999998</v>
      </c>
      <c r="F1" s="1">
        <v>2.6</v>
      </c>
      <c r="G1" s="1">
        <v>3</v>
      </c>
      <c r="H1" s="1" t="s">
        <v>80</v>
      </c>
    </row>
    <row r="2" spans="1:9" x14ac:dyDescent="0.35">
      <c r="A2" s="1" t="s">
        <v>69</v>
      </c>
      <c r="B2" s="1">
        <v>17711</v>
      </c>
    </row>
    <row r="3" spans="1:9" x14ac:dyDescent="0.35">
      <c r="A3" s="1" t="s">
        <v>70</v>
      </c>
      <c r="B3" s="1">
        <v>13120</v>
      </c>
      <c r="C3" s="4">
        <v>32700</v>
      </c>
      <c r="D3" s="4">
        <v>37</v>
      </c>
      <c r="E3" s="5">
        <v>216</v>
      </c>
      <c r="F3" s="4">
        <v>40382</v>
      </c>
      <c r="G3" s="4">
        <v>68045</v>
      </c>
      <c r="H3" s="4">
        <v>108680</v>
      </c>
      <c r="I3" s="1">
        <v>5183</v>
      </c>
    </row>
    <row r="4" spans="1:9" x14ac:dyDescent="0.35">
      <c r="A4" s="1" t="s">
        <v>71</v>
      </c>
      <c r="B4" s="1">
        <v>19642</v>
      </c>
      <c r="C4" s="4"/>
      <c r="D4" s="4"/>
      <c r="E4" s="5"/>
      <c r="F4" s="4"/>
      <c r="G4" s="4"/>
      <c r="H4" s="4"/>
      <c r="I4" s="1">
        <v>6125</v>
      </c>
    </row>
    <row r="5" spans="1:9" x14ac:dyDescent="0.35">
      <c r="A5" s="1" t="s">
        <v>72</v>
      </c>
      <c r="B5" s="1">
        <v>21399</v>
      </c>
    </row>
    <row r="6" spans="1:9" x14ac:dyDescent="0.35">
      <c r="A6" s="1" t="s">
        <v>73</v>
      </c>
      <c r="B6" s="1">
        <v>11373</v>
      </c>
    </row>
    <row r="7" spans="1:9" x14ac:dyDescent="0.35">
      <c r="A7" s="1" t="s">
        <v>74</v>
      </c>
      <c r="B7" s="1">
        <v>33744</v>
      </c>
      <c r="C7" s="4">
        <v>40131</v>
      </c>
      <c r="D7" s="4">
        <v>115</v>
      </c>
      <c r="E7" s="4">
        <v>492</v>
      </c>
      <c r="F7" s="4">
        <v>12102</v>
      </c>
      <c r="G7" s="4">
        <v>63305</v>
      </c>
      <c r="H7" s="4">
        <v>76014</v>
      </c>
      <c r="I7" s="1">
        <v>3639</v>
      </c>
    </row>
    <row r="8" spans="1:9" x14ac:dyDescent="0.35">
      <c r="A8" s="1" t="s">
        <v>75</v>
      </c>
      <c r="B8" s="1">
        <v>7314</v>
      </c>
      <c r="C8" s="4"/>
      <c r="D8" s="4"/>
      <c r="E8" s="4"/>
      <c r="F8" s="4"/>
      <c r="G8" s="4"/>
      <c r="H8" s="4"/>
    </row>
    <row r="9" spans="1:9" x14ac:dyDescent="0.35">
      <c r="A9" s="1" t="s">
        <v>76</v>
      </c>
      <c r="B9" s="1">
        <v>19995</v>
      </c>
      <c r="C9" s="4">
        <v>30542</v>
      </c>
      <c r="D9" s="4">
        <v>118</v>
      </c>
      <c r="E9" s="4">
        <v>492</v>
      </c>
      <c r="F9" s="4">
        <v>11034</v>
      </c>
      <c r="G9" s="4">
        <v>52568</v>
      </c>
      <c r="H9" s="4">
        <v>64212</v>
      </c>
      <c r="I9" s="1">
        <v>2572</v>
      </c>
    </row>
    <row r="10" spans="1:9" x14ac:dyDescent="0.35">
      <c r="A10" s="1" t="s">
        <v>77</v>
      </c>
      <c r="B10" s="1">
        <v>7587</v>
      </c>
      <c r="C10" s="4"/>
      <c r="D10" s="4"/>
      <c r="E10" s="4"/>
      <c r="F10" s="4"/>
      <c r="G10" s="4"/>
      <c r="H10" s="4"/>
    </row>
    <row r="11" spans="1:9" x14ac:dyDescent="0.35">
      <c r="A11" s="1" t="s">
        <v>78</v>
      </c>
      <c r="B11" s="1">
        <v>13178</v>
      </c>
      <c r="C11" s="4">
        <v>23473</v>
      </c>
      <c r="D11" s="4"/>
      <c r="E11" s="4"/>
      <c r="F11" s="4"/>
      <c r="G11" s="4"/>
      <c r="H11" s="4"/>
      <c r="I11" s="1">
        <v>3627</v>
      </c>
    </row>
    <row r="12" spans="1:9" x14ac:dyDescent="0.35">
      <c r="A12" s="1" t="s">
        <v>79</v>
      </c>
      <c r="B12" s="1">
        <v>10327</v>
      </c>
      <c r="C12" s="4"/>
      <c r="D12" s="4"/>
      <c r="E12" s="4"/>
      <c r="F12" s="4"/>
      <c r="G12" s="4"/>
      <c r="H12" s="4"/>
    </row>
    <row r="13" spans="1:9" x14ac:dyDescent="0.35">
      <c r="A13" s="1" t="s">
        <v>81</v>
      </c>
      <c r="B13" s="1">
        <v>312</v>
      </c>
      <c r="C13" s="1">
        <v>18</v>
      </c>
      <c r="D13" s="1">
        <v>62</v>
      </c>
      <c r="E13" s="1">
        <v>5133</v>
      </c>
      <c r="F13" s="1">
        <v>1985</v>
      </c>
      <c r="G13" s="1">
        <v>7198</v>
      </c>
      <c r="I13" s="1">
        <v>221</v>
      </c>
    </row>
    <row r="14" spans="1:9" x14ac:dyDescent="0.35">
      <c r="A14" s="1" t="s">
        <v>82</v>
      </c>
      <c r="C14" s="1">
        <v>52</v>
      </c>
      <c r="D14" s="1">
        <v>207</v>
      </c>
      <c r="E14" s="1">
        <v>7085</v>
      </c>
      <c r="F14" s="1">
        <v>16188</v>
      </c>
      <c r="G14" s="1">
        <v>23532</v>
      </c>
      <c r="I14" s="1">
        <v>1928</v>
      </c>
    </row>
  </sheetData>
  <mergeCells count="24">
    <mergeCell ref="F11:F12"/>
    <mergeCell ref="G11:G12"/>
    <mergeCell ref="H11:H12"/>
    <mergeCell ref="C7:C8"/>
    <mergeCell ref="D7:D8"/>
    <mergeCell ref="E7:E8"/>
    <mergeCell ref="F7:F8"/>
    <mergeCell ref="G7:G8"/>
    <mergeCell ref="H7:H8"/>
    <mergeCell ref="C9:C10"/>
    <mergeCell ref="H9:H10"/>
    <mergeCell ref="D9:D10"/>
    <mergeCell ref="E9:E10"/>
    <mergeCell ref="F9:F10"/>
    <mergeCell ref="G9:G10"/>
    <mergeCell ref="C11:C12"/>
    <mergeCell ref="D11:D12"/>
    <mergeCell ref="E11:E12"/>
    <mergeCell ref="H3:H4"/>
    <mergeCell ref="C3:C4"/>
    <mergeCell ref="D3:D4"/>
    <mergeCell ref="E3:E4"/>
    <mergeCell ref="F3:F4"/>
    <mergeCell ref="G3:G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787D0-46A6-4B54-B730-F57255CA7734}">
  <dimension ref="A1"/>
  <sheetViews>
    <sheetView zoomScale="160" zoomScaleNormal="160" workbookViewId="0">
      <selection activeCell="D218" sqref="D218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006B8-83D2-4B43-87BC-CE6C68A28A7F}">
  <dimension ref="A1"/>
  <sheetViews>
    <sheetView zoomScale="175" zoomScaleNormal="175" workbookViewId="0">
      <selection sqref="A1:XFD757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A19A-1DF2-43E6-93F7-FECB80CD3837}">
  <dimension ref="A1"/>
  <sheetViews>
    <sheetView zoomScale="175" zoomScaleNormal="175" workbookViewId="0">
      <selection activeCell="E14" sqref="E14"/>
    </sheetView>
  </sheetViews>
  <sheetFormatPr defaultRowHeight="14.15" x14ac:dyDescent="0.35"/>
  <sheetData/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051B-BDAF-43EB-8A00-C186415751F8}">
  <dimension ref="A1"/>
  <sheetViews>
    <sheetView workbookViewId="0"/>
  </sheetViews>
  <sheetFormatPr defaultRowHeight="14.15" x14ac:dyDescent="0.35"/>
  <sheetData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DDE97-9F48-448C-9B64-2244FA2A6D99}">
  <dimension ref="A1"/>
  <sheetViews>
    <sheetView workbookViewId="0">
      <selection activeCell="F26" sqref="F26"/>
    </sheetView>
  </sheetViews>
  <sheetFormatPr defaultRowHeight="14.15" x14ac:dyDescent="0.3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BCC</vt:lpstr>
      <vt:lpstr>FCC</vt:lpstr>
      <vt:lpstr>HCP</vt:lpstr>
      <vt:lpstr>Fe2C</vt:lpstr>
      <vt:lpstr>Fe3C</vt:lpstr>
      <vt:lpstr>Fe5C2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liying An</dc:creator>
  <cp:lastModifiedBy>liying An</cp:lastModifiedBy>
  <dcterms:created xsi:type="dcterms:W3CDTF">2015-06-05T18:19:34Z</dcterms:created>
  <dcterms:modified xsi:type="dcterms:W3CDTF">2026-07-30T13:18:28Z</dcterms:modified>
</cp:coreProperties>
</file>