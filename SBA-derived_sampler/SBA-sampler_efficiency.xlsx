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anliying\topo_sampler_pkg\data-paper\FexCy-SBA_derived_sampler\"/>
    </mc:Choice>
  </mc:AlternateContent>
  <xr:revisionPtr revIDLastSave="0" documentId="13_ncr:1_{65E79A2F-7C16-4423-A8BA-085DC57B27C5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C-doped-2" sheetId="14" r:id="rId1"/>
    <sheet name="Sheet5" sheetId="1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9" l="1"/>
  <c r="I4" i="19" s="1"/>
  <c r="I5" i="19" s="1"/>
  <c r="I6" i="19" s="1"/>
  <c r="I7" i="19" s="1"/>
  <c r="I8" i="19" s="1"/>
  <c r="I2" i="19"/>
  <c r="H3" i="19"/>
  <c r="H8" i="19"/>
  <c r="E8" i="19"/>
  <c r="H7" i="19"/>
  <c r="E7" i="19"/>
  <c r="H6" i="19"/>
  <c r="E6" i="19"/>
  <c r="H5" i="19"/>
  <c r="E5" i="19"/>
  <c r="H4" i="19"/>
  <c r="E4" i="19"/>
  <c r="E3" i="19"/>
  <c r="E2" i="19"/>
  <c r="C8" i="14"/>
  <c r="B8" i="14"/>
</calcChain>
</file>

<file path=xl/sharedStrings.xml><?xml version="1.0" encoding="utf-8"?>
<sst xmlns="http://schemas.openxmlformats.org/spreadsheetml/2006/main" count="23" uniqueCount="23">
  <si>
    <t>E_error</t>
    <phoneticPr fontId="1" type="noConversion"/>
  </si>
  <si>
    <t>F_error</t>
    <phoneticPr fontId="1" type="noConversion"/>
  </si>
  <si>
    <t>SBA-choose</t>
  </si>
  <si>
    <t>fnew</t>
  </si>
  <si>
    <t>Total structures</t>
    <phoneticPr fontId="1" type="noConversion"/>
  </si>
  <si>
    <t>eff_fp-total</t>
  </si>
  <si>
    <t>fp-total</t>
    <phoneticPr fontId="1" type="noConversion"/>
  </si>
  <si>
    <t>Candidates_tot</t>
    <phoneticPr fontId="1" type="noConversion"/>
  </si>
  <si>
    <t>fp-choose</t>
  </si>
  <si>
    <t>Candidates_nonph</t>
    <phoneticPr fontId="1" type="noConversion"/>
  </si>
  <si>
    <t>S_error</t>
    <phoneticPr fontId="1" type="noConversion"/>
  </si>
  <si>
    <t>R_str</t>
    <phoneticPr fontId="1" type="noConversion"/>
  </si>
  <si>
    <t>Supercell enumeration</t>
  </si>
  <si>
    <t>Disordered C doped systems</t>
    <phoneticPr fontId="1" type="noConversion"/>
  </si>
  <si>
    <t>FCC-2x2x2</t>
    <phoneticPr fontId="1" type="noConversion"/>
  </si>
  <si>
    <t>BCC-2x2x4</t>
    <phoneticPr fontId="1" type="noConversion"/>
  </si>
  <si>
    <t>HCP-4x2x2</t>
    <phoneticPr fontId="1" type="noConversion"/>
  </si>
  <si>
    <r>
      <t>N</t>
    </r>
    <r>
      <rPr>
        <vertAlign val="subscript"/>
        <sz val="11"/>
        <color theme="1"/>
        <rFont val="Times New Roman"/>
        <family val="1"/>
      </rPr>
      <t>SBA</t>
    </r>
    <phoneticPr fontId="1" type="noConversion"/>
  </si>
  <si>
    <r>
      <t>θ-Fe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C-2x1x2</t>
    </r>
    <phoneticPr fontId="1" type="noConversion"/>
  </si>
  <si>
    <r>
      <t>χ-Fe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-1x2x1</t>
    </r>
    <phoneticPr fontId="1" type="noConversion"/>
  </si>
  <si>
    <r>
      <t>η-Fe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C-2x2x2</t>
    </r>
    <phoneticPr fontId="1" type="noConversion"/>
  </si>
  <si>
    <t>Initial</t>
    <phoneticPr fontId="1" type="noConversion"/>
  </si>
  <si>
    <t>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</si>
</sst>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_ "/>
    <numFmt numFmtId="177" formatCode="0_ "/>
    <numFmt numFmtId="178" formatCode="0.0000_ "/>
    <numFmt numFmtId="179" formatCode="0.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/>
    </xf>
    <xf numFmtId="178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2" fillId="0" borderId="0" xfId="0" applyNumberFormat="1" applyFont="1"/>
    <xf numFmtId="178" fontId="2" fillId="0" borderId="0" xfId="0" applyNumberFormat="1" applyFont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79" fontId="3" fillId="3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A4C5F-9E06-4B40-9630-C8E7FF8D45E4}">
  <dimension ref="A1:C8"/>
  <sheetViews>
    <sheetView zoomScale="190" zoomScaleNormal="190" workbookViewId="0">
      <selection activeCell="B10" sqref="B10"/>
    </sheetView>
  </sheetViews>
  <sheetFormatPr defaultRowHeight="14.15" x14ac:dyDescent="0.35"/>
  <cols>
    <col min="1" max="1" width="23.92578125" style="1" customWidth="1"/>
    <col min="2" max="2" width="20.140625" style="1" customWidth="1"/>
    <col min="3" max="16384" width="9.140625" style="1"/>
  </cols>
  <sheetData>
    <row r="1" spans="1:3" ht="16.75" x14ac:dyDescent="0.35">
      <c r="A1" s="1" t="s">
        <v>13</v>
      </c>
      <c r="B1" s="11" t="s">
        <v>12</v>
      </c>
      <c r="C1" s="1" t="s">
        <v>17</v>
      </c>
    </row>
    <row r="2" spans="1:3" x14ac:dyDescent="0.35">
      <c r="A2" s="1" t="s">
        <v>14</v>
      </c>
      <c r="B2" s="1">
        <v>1102</v>
      </c>
      <c r="C2" s="1">
        <v>28</v>
      </c>
    </row>
    <row r="3" spans="1:3" x14ac:dyDescent="0.35">
      <c r="A3" s="1" t="s">
        <v>15</v>
      </c>
      <c r="B3" s="1">
        <v>2475</v>
      </c>
      <c r="C3" s="1">
        <v>52</v>
      </c>
    </row>
    <row r="4" spans="1:3" x14ac:dyDescent="0.35">
      <c r="A4" s="1" t="s">
        <v>16</v>
      </c>
      <c r="B4" s="1">
        <v>2415</v>
      </c>
      <c r="C4" s="1">
        <v>47</v>
      </c>
    </row>
    <row r="5" spans="1:3" ht="16.75" x14ac:dyDescent="0.35">
      <c r="A5" s="1" t="s">
        <v>18</v>
      </c>
      <c r="B5" s="1">
        <v>5660</v>
      </c>
      <c r="C5" s="1">
        <v>50</v>
      </c>
    </row>
    <row r="6" spans="1:3" ht="16.75" x14ac:dyDescent="0.35">
      <c r="A6" s="1" t="s">
        <v>19</v>
      </c>
      <c r="B6" s="1">
        <v>4276</v>
      </c>
      <c r="C6" s="1">
        <v>85</v>
      </c>
    </row>
    <row r="7" spans="1:3" ht="16.75" x14ac:dyDescent="0.35">
      <c r="A7" s="1" t="s">
        <v>20</v>
      </c>
      <c r="B7" s="1">
        <v>1515</v>
      </c>
      <c r="C7" s="1">
        <v>37</v>
      </c>
    </row>
    <row r="8" spans="1:3" x14ac:dyDescent="0.35">
      <c r="A8" s="1" t="s">
        <v>4</v>
      </c>
      <c r="B8" s="1">
        <f>SUM(B2:B7)</f>
        <v>17443</v>
      </c>
      <c r="C8" s="1">
        <f>SUM(C2:C7)</f>
        <v>299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FDE77-2C8C-4F3C-93B0-8C1DC6890921}">
  <dimension ref="A1:L8"/>
  <sheetViews>
    <sheetView tabSelected="1" topLeftCell="C1" zoomScale="170" zoomScaleNormal="170" workbookViewId="0">
      <selection activeCell="F9" sqref="F9"/>
    </sheetView>
  </sheetViews>
  <sheetFormatPr defaultRowHeight="14.15" x14ac:dyDescent="0.35"/>
  <cols>
    <col min="1" max="1" width="11.85546875" style="3" customWidth="1"/>
    <col min="2" max="2" width="12.42578125" style="3" customWidth="1"/>
    <col min="3" max="3" width="15.140625" style="3" customWidth="1"/>
    <col min="4" max="4" width="10.78515625" style="3" customWidth="1"/>
    <col min="5" max="5" width="8.78515625" style="6" customWidth="1"/>
    <col min="6" max="6" width="9.92578125" style="12" customWidth="1"/>
    <col min="7" max="7" width="9.7109375" style="2" customWidth="1"/>
    <col min="8" max="8" width="10.5703125" style="13" bestFit="1" customWidth="1"/>
    <col min="9" max="9" width="9.5703125" style="2" bestFit="1" customWidth="1"/>
    <col min="10" max="12" width="9.140625" style="1"/>
    <col min="13" max="16384" width="9.140625" style="2"/>
  </cols>
  <sheetData>
    <row r="1" spans="1:12" ht="15.9" customHeight="1" x14ac:dyDescent="0.35">
      <c r="A1" s="14"/>
      <c r="B1" s="14" t="s">
        <v>7</v>
      </c>
      <c r="C1" s="15" t="s">
        <v>9</v>
      </c>
      <c r="D1" s="15" t="s">
        <v>2</v>
      </c>
      <c r="E1" s="15" t="s">
        <v>11</v>
      </c>
      <c r="F1" s="15" t="s">
        <v>5</v>
      </c>
      <c r="G1" s="15" t="s">
        <v>8</v>
      </c>
      <c r="H1" s="16" t="s">
        <v>3</v>
      </c>
      <c r="I1" s="15" t="s">
        <v>6</v>
      </c>
      <c r="J1" s="15" t="s">
        <v>0</v>
      </c>
      <c r="K1" s="15" t="s">
        <v>1</v>
      </c>
      <c r="L1" s="15" t="s">
        <v>10</v>
      </c>
    </row>
    <row r="2" spans="1:12" x14ac:dyDescent="0.35">
      <c r="A2" s="1" t="s">
        <v>21</v>
      </c>
      <c r="B2" s="1">
        <v>20625</v>
      </c>
      <c r="C2" s="5">
        <v>1799</v>
      </c>
      <c r="D2" s="5">
        <v>3573</v>
      </c>
      <c r="E2" s="9">
        <f>D2/B2</f>
        <v>0.17323636363636363</v>
      </c>
      <c r="F2" s="5">
        <v>36228</v>
      </c>
      <c r="G2" s="5">
        <v>36206</v>
      </c>
      <c r="H2" s="10" t="s">
        <v>22</v>
      </c>
      <c r="I2" s="5">
        <f>G2</f>
        <v>36206</v>
      </c>
      <c r="J2" s="7">
        <v>1.413E-2</v>
      </c>
      <c r="K2" s="7">
        <v>0.18521000000000001</v>
      </c>
      <c r="L2" s="8">
        <v>0.11706</v>
      </c>
    </row>
    <row r="3" spans="1:12" x14ac:dyDescent="0.35">
      <c r="A3" s="1">
        <v>1</v>
      </c>
      <c r="B3" s="1">
        <v>20000</v>
      </c>
      <c r="C3" s="5">
        <v>705</v>
      </c>
      <c r="D3" s="5">
        <v>5873</v>
      </c>
      <c r="E3" s="9">
        <f>D3/(B3+B2)</f>
        <v>0.14456615384615384</v>
      </c>
      <c r="F3" s="5">
        <v>30218</v>
      </c>
      <c r="G3" s="5">
        <v>13609</v>
      </c>
      <c r="H3" s="9">
        <f>G3/(F3+F2)</f>
        <v>0.20481293080095114</v>
      </c>
      <c r="I3" s="5">
        <f>G3+G2</f>
        <v>49815</v>
      </c>
      <c r="J3" s="7">
        <v>1.1509999999999999E-2</v>
      </c>
      <c r="K3" s="7">
        <v>0.14318</v>
      </c>
      <c r="L3" s="8">
        <v>0.10804999999999999</v>
      </c>
    </row>
    <row r="4" spans="1:12" x14ac:dyDescent="0.35">
      <c r="A4" s="1">
        <v>2</v>
      </c>
      <c r="B4" s="1">
        <v>20000</v>
      </c>
      <c r="C4" s="5">
        <v>750</v>
      </c>
      <c r="D4" s="5">
        <v>7938</v>
      </c>
      <c r="E4" s="9">
        <f>D4/(B4+B3+B2)</f>
        <v>0.13093608247422681</v>
      </c>
      <c r="F4" s="5">
        <v>29766</v>
      </c>
      <c r="G4" s="5">
        <v>9779</v>
      </c>
      <c r="H4" s="4">
        <f>G4/(F4+F3+F2)</f>
        <v>0.10164012805055503</v>
      </c>
      <c r="I4" s="5">
        <f>I3+G4</f>
        <v>59594</v>
      </c>
      <c r="J4" s="7">
        <v>1.0840000000000001E-2</v>
      </c>
      <c r="K4" s="7">
        <v>0.13780000000000001</v>
      </c>
      <c r="L4" s="8">
        <v>0.10736999999999999</v>
      </c>
    </row>
    <row r="5" spans="1:12" x14ac:dyDescent="0.35">
      <c r="A5" s="1">
        <v>3</v>
      </c>
      <c r="B5" s="1">
        <v>20000</v>
      </c>
      <c r="C5" s="5">
        <v>749</v>
      </c>
      <c r="D5" s="5">
        <v>9853</v>
      </c>
      <c r="E5" s="9">
        <f>D5/(B5+B4+B3+B2)</f>
        <v>0.1222077519379845</v>
      </c>
      <c r="F5" s="5">
        <v>30579</v>
      </c>
      <c r="G5" s="5">
        <v>8454</v>
      </c>
      <c r="H5" s="4">
        <f>G5/(F5+F4+F3+F2)</f>
        <v>6.6676656860502712E-2</v>
      </c>
      <c r="I5" s="5">
        <f>I4+G5</f>
        <v>68048</v>
      </c>
      <c r="J5" s="7">
        <v>1.0789999999999999E-2</v>
      </c>
      <c r="K5" s="7">
        <v>0.13089999999999999</v>
      </c>
      <c r="L5" s="7">
        <v>0.10566</v>
      </c>
    </row>
    <row r="6" spans="1:12" x14ac:dyDescent="0.35">
      <c r="A6" s="1">
        <v>4</v>
      </c>
      <c r="B6" s="1">
        <v>20000</v>
      </c>
      <c r="C6" s="5">
        <v>738</v>
      </c>
      <c r="D6" s="5">
        <v>11626</v>
      </c>
      <c r="E6" s="9">
        <f>D6/(B6+B5+B4+B3+B2)</f>
        <v>0.11553788819875777</v>
      </c>
      <c r="F6" s="5">
        <v>30664</v>
      </c>
      <c r="G6" s="5">
        <v>7122</v>
      </c>
      <c r="H6" s="9">
        <f>G6/(F6+F5+F4+F3+F2)</f>
        <v>4.5231971039344572E-2</v>
      </c>
      <c r="I6" s="5">
        <f>I5+G6</f>
        <v>75170</v>
      </c>
      <c r="J6" s="7">
        <v>1.03E-2</v>
      </c>
      <c r="K6" s="7">
        <v>0.13053999999999999</v>
      </c>
      <c r="L6" s="7">
        <v>0.10581</v>
      </c>
    </row>
    <row r="7" spans="1:12" x14ac:dyDescent="0.35">
      <c r="A7" s="1">
        <v>5</v>
      </c>
      <c r="B7" s="1">
        <v>20000</v>
      </c>
      <c r="C7" s="5">
        <v>792</v>
      </c>
      <c r="D7" s="5">
        <v>13231</v>
      </c>
      <c r="E7" s="9">
        <f>D7/(B7+B6+B5+B4+B3+B2)</f>
        <v>0.10968704663212435</v>
      </c>
      <c r="F7" s="5">
        <v>30343</v>
      </c>
      <c r="G7" s="5">
        <v>6494</v>
      </c>
      <c r="H7" s="9">
        <f>G7/(F7+F6+F5+F4+F3+F2)</f>
        <v>3.4579707984110586E-2</v>
      </c>
      <c r="I7" s="5">
        <f>I6+G7</f>
        <v>81664</v>
      </c>
      <c r="J7" s="7">
        <v>1.0200000000000001E-2</v>
      </c>
      <c r="K7" s="7">
        <v>0.12967000000000001</v>
      </c>
      <c r="L7" s="8">
        <v>0.10532999999999999</v>
      </c>
    </row>
    <row r="8" spans="1:12" x14ac:dyDescent="0.35">
      <c r="A8" s="1">
        <v>6</v>
      </c>
      <c r="B8" s="1">
        <v>20000</v>
      </c>
      <c r="C8" s="5">
        <v>811</v>
      </c>
      <c r="D8" s="5">
        <v>14833</v>
      </c>
      <c r="E8" s="9">
        <f>D8/(120000+B2)</f>
        <v>0.10547911111111111</v>
      </c>
      <c r="F8" s="5">
        <v>31106</v>
      </c>
      <c r="G8" s="5">
        <v>5958</v>
      </c>
      <c r="H8" s="9">
        <f>G8/(F8+F7+F6+F5+F4+F3+F2)</f>
        <v>2.7217410371669772E-2</v>
      </c>
      <c r="I8" s="5">
        <f>G8+I7</f>
        <v>87622</v>
      </c>
      <c r="J8" s="7">
        <v>1.01E-2</v>
      </c>
      <c r="K8" s="7">
        <v>0.12953999999999999</v>
      </c>
      <c r="L8" s="7">
        <v>0.10525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C-doped-2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liying An</dc:creator>
  <cp:lastModifiedBy>liying An</cp:lastModifiedBy>
  <dcterms:created xsi:type="dcterms:W3CDTF">2015-06-05T18:19:34Z</dcterms:created>
  <dcterms:modified xsi:type="dcterms:W3CDTF">2026-07-30T12:30:35Z</dcterms:modified>
</cp:coreProperties>
</file>