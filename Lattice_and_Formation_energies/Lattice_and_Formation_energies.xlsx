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\\wsl.localhost\Ubuntu\home\anliying\topo_sampler_pkg\data-paper\Lattice_and_Formation_energies\"/>
    </mc:Choice>
  </mc:AlternateContent>
  <xr:revisionPtr revIDLastSave="0" documentId="13_ncr:1_{924A899C-BA91-4447-9ABD-1E0E14E49093}" xr6:coauthVersionLast="47" xr6:coauthVersionMax="47" xr10:uidLastSave="{00000000-0000-0000-0000-000000000000}"/>
  <bookViews>
    <workbookView xWindow="-103" yWindow="-103" windowWidth="22149" windowHeight="13200" activeTab="2" xr2:uid="{00000000-000D-0000-FFFF-FFFF00000000}"/>
  </bookViews>
  <sheets>
    <sheet name="Lattice" sheetId="1" r:id="rId1"/>
    <sheet name="Orded_iron-carbide" sheetId="2" r:id="rId2"/>
    <sheet name="Disorded_iron-carbide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" i="3" l="1"/>
  <c r="H5" i="3"/>
  <c r="H6" i="3"/>
  <c r="H7" i="3"/>
  <c r="H8" i="3"/>
  <c r="H9" i="3"/>
  <c r="H10" i="3"/>
  <c r="H11" i="3"/>
  <c r="N15" i="3"/>
  <c r="Q15" i="3" s="1"/>
  <c r="N14" i="3"/>
  <c r="Q14" i="3" s="1"/>
  <c r="N13" i="3"/>
  <c r="Q13" i="3" s="1"/>
  <c r="N12" i="3"/>
  <c r="Q12" i="3" s="1"/>
  <c r="N11" i="3"/>
  <c r="Q11" i="3" s="1"/>
  <c r="N10" i="3"/>
  <c r="Q10" i="3" s="1"/>
  <c r="N9" i="3"/>
  <c r="Q9" i="3" s="1"/>
  <c r="N8" i="3"/>
  <c r="Q8" i="3" s="1"/>
  <c r="N7" i="3"/>
  <c r="Q7" i="3" s="1"/>
  <c r="N6" i="3"/>
  <c r="Q6" i="3" s="1"/>
  <c r="N5" i="3"/>
  <c r="Q5" i="3" s="1"/>
  <c r="N4" i="3"/>
  <c r="Q4" i="3" s="1"/>
  <c r="N3" i="3"/>
  <c r="Q3" i="3" s="1"/>
  <c r="N2" i="3"/>
  <c r="Q2" i="3" s="1"/>
  <c r="E15" i="3"/>
  <c r="H15" i="3" s="1"/>
  <c r="E14" i="3"/>
  <c r="H14" i="3" s="1"/>
  <c r="E13" i="3"/>
  <c r="H13" i="3" s="1"/>
  <c r="E12" i="3"/>
  <c r="H12" i="3" s="1"/>
  <c r="E11" i="3"/>
  <c r="E10" i="3"/>
  <c r="E9" i="3"/>
  <c r="E8" i="3"/>
  <c r="E7" i="3"/>
  <c r="E6" i="3"/>
  <c r="E5" i="3"/>
  <c r="E4" i="3"/>
  <c r="H4" i="3" s="1"/>
  <c r="E3" i="3"/>
  <c r="H3" i="3" s="1"/>
  <c r="E2" i="3"/>
  <c r="F11" i="2"/>
  <c r="I11" i="2" s="1"/>
  <c r="J11" i="2" s="1"/>
  <c r="F10" i="2"/>
  <c r="I10" i="2" s="1"/>
  <c r="J10" i="2" s="1"/>
  <c r="F9" i="2"/>
  <c r="I9" i="2" s="1"/>
  <c r="J9" i="2" s="1"/>
  <c r="F8" i="2"/>
  <c r="I8" i="2" s="1"/>
  <c r="J8" i="2" s="1"/>
  <c r="F5" i="2"/>
  <c r="I5" i="2" s="1"/>
  <c r="J5" i="2" s="1"/>
  <c r="F4" i="2"/>
  <c r="I4" i="2" s="1"/>
  <c r="J4" i="2" s="1"/>
  <c r="F3" i="2"/>
  <c r="I3" i="2" s="1"/>
  <c r="J3" i="2" s="1"/>
  <c r="F2" i="2"/>
  <c r="I2" i="2" l="1"/>
  <c r="J2" i="2" s="1"/>
</calcChain>
</file>

<file path=xl/sharedStrings.xml><?xml version="1.0" encoding="utf-8"?>
<sst xmlns="http://schemas.openxmlformats.org/spreadsheetml/2006/main" count="96" uniqueCount="43">
  <si>
    <t>θ-Fe3C</t>
  </si>
  <si>
    <t>ε-Fe3C</t>
  </si>
  <si>
    <t>χ-Fe5C2</t>
  </si>
  <si>
    <t>η-Fe2C</t>
  </si>
  <si>
    <t>h-Fe7C3</t>
    <phoneticPr fontId="1" type="noConversion"/>
  </si>
  <si>
    <t>DFT</t>
    <phoneticPr fontId="1" type="noConversion"/>
  </si>
  <si>
    <t>NEP</t>
    <phoneticPr fontId="1" type="noConversion"/>
  </si>
  <si>
    <t>lattice_a</t>
    <phoneticPr fontId="1" type="noConversion"/>
  </si>
  <si>
    <t>lattice_b</t>
    <phoneticPr fontId="1" type="noConversion"/>
  </si>
  <si>
    <t>lattice_c</t>
    <phoneticPr fontId="1" type="noConversion"/>
  </si>
  <si>
    <r>
      <t>θ-Fe</t>
    </r>
    <r>
      <rPr>
        <vertAlign val="sub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>C</t>
    </r>
    <phoneticPr fontId="1" type="noConversion"/>
  </si>
  <si>
    <r>
      <t>χ-Fe</t>
    </r>
    <r>
      <rPr>
        <vertAlign val="subscript"/>
        <sz val="11"/>
        <color theme="1"/>
        <rFont val="Times New Roman"/>
        <family val="1"/>
      </rPr>
      <t>5</t>
    </r>
    <r>
      <rPr>
        <sz val="11"/>
        <color theme="1"/>
        <rFont val="Times New Roman"/>
        <family val="1"/>
      </rPr>
      <t>C</t>
    </r>
    <r>
      <rPr>
        <vertAlign val="subscript"/>
        <sz val="11"/>
        <color theme="1"/>
        <rFont val="Times New Roman"/>
        <family val="1"/>
      </rPr>
      <t>2</t>
    </r>
    <phoneticPr fontId="1" type="noConversion"/>
  </si>
  <si>
    <r>
      <t>η-Fe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C</t>
    </r>
    <phoneticPr fontId="1" type="noConversion"/>
  </si>
  <si>
    <r>
      <t>ε-Fe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C</t>
    </r>
    <phoneticPr fontId="1" type="noConversion"/>
  </si>
  <si>
    <r>
      <t>h-Fe</t>
    </r>
    <r>
      <rPr>
        <vertAlign val="subscript"/>
        <sz val="11"/>
        <color theme="1"/>
        <rFont val="Times New Roman"/>
        <family val="1"/>
      </rPr>
      <t>7</t>
    </r>
    <r>
      <rPr>
        <sz val="11"/>
        <color theme="1"/>
        <rFont val="Times New Roman"/>
        <family val="1"/>
      </rPr>
      <t>C</t>
    </r>
    <r>
      <rPr>
        <vertAlign val="subscript"/>
        <sz val="11"/>
        <color theme="1"/>
        <rFont val="Times New Roman"/>
        <family val="1"/>
      </rPr>
      <t>3</t>
    </r>
    <phoneticPr fontId="1" type="noConversion"/>
  </si>
  <si>
    <t>Fe</t>
    <phoneticPr fontId="1" type="noConversion"/>
  </si>
  <si>
    <t>C</t>
    <phoneticPr fontId="1" type="noConversion"/>
  </si>
  <si>
    <t>θ-Fe48C16</t>
    <phoneticPr fontId="1" type="noConversion"/>
  </si>
  <si>
    <t>χ-Fe40C16</t>
    <phoneticPr fontId="1" type="noConversion"/>
  </si>
  <si>
    <t>η-Fe32C16</t>
    <phoneticPr fontId="1" type="noConversion"/>
  </si>
  <si>
    <t>h-Fe28C13</t>
    <phoneticPr fontId="1" type="noConversion"/>
  </si>
  <si>
    <t>Supercell</t>
    <phoneticPr fontId="1" type="noConversion"/>
  </si>
  <si>
    <t>Total_energy/eV</t>
    <phoneticPr fontId="1" type="noConversion"/>
  </si>
  <si>
    <t>Energy/atom_α-Fe</t>
    <phoneticPr fontId="1" type="noConversion"/>
  </si>
  <si>
    <t>Energy/atom_Graphene</t>
    <phoneticPr fontId="1" type="noConversion"/>
  </si>
  <si>
    <t>Formation_energy/atom/eV</t>
    <phoneticPr fontId="1" type="noConversion"/>
  </si>
  <si>
    <t>Formation_energy/atom/meV</t>
    <phoneticPr fontId="1" type="noConversion"/>
  </si>
  <si>
    <t>Fe48C3</t>
  </si>
  <si>
    <t>Fe48C4</t>
  </si>
  <si>
    <t>Fe48C5</t>
  </si>
  <si>
    <t>Fe48C6</t>
  </si>
  <si>
    <t>Fe48C7</t>
  </si>
  <si>
    <t>Fe48C8</t>
  </si>
  <si>
    <t>Fe48C9</t>
  </si>
  <si>
    <t>Fe48C10</t>
  </si>
  <si>
    <t>Fe48C11</t>
  </si>
  <si>
    <t>Fe48C12</t>
  </si>
  <si>
    <t>Fe48C13</t>
  </si>
  <si>
    <t>Fe48C14</t>
  </si>
  <si>
    <t>Fe48C15</t>
  </si>
  <si>
    <t>Fe48C16</t>
  </si>
  <si>
    <r>
      <t>θ-Fe48C</t>
    </r>
    <r>
      <rPr>
        <i/>
        <sz val="12"/>
        <color theme="1"/>
        <rFont val="Times New Roman"/>
        <family val="1"/>
      </rPr>
      <t>x</t>
    </r>
    <r>
      <rPr>
        <sz val="11"/>
        <color theme="1"/>
        <rFont val="Times New Roman"/>
        <family val="1"/>
      </rPr>
      <t>-NEP</t>
    </r>
    <phoneticPr fontId="1" type="noConversion"/>
  </si>
  <si>
    <r>
      <t>θ-Fe48C</t>
    </r>
    <r>
      <rPr>
        <vertAlign val="subscript"/>
        <sz val="12"/>
        <color theme="1"/>
        <rFont val="宋体"/>
        <family val="3"/>
        <charset val="134"/>
      </rPr>
      <t>x</t>
    </r>
    <r>
      <rPr>
        <sz val="11"/>
        <color theme="1"/>
        <rFont val="Times New Roman"/>
        <family val="1"/>
      </rPr>
      <t>-DFT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</si>
</sst>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.000_ "/>
    <numFmt numFmtId="177" formatCode="0_ "/>
    <numFmt numFmtId="178" formatCode="0.00000_ "/>
  </numFmts>
  <fonts count="8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Times New Roman"/>
      <family val="1"/>
    </font>
    <font>
      <vertAlign val="subscript"/>
      <sz val="11"/>
      <color theme="1"/>
      <name val="Times New Roman"/>
      <family val="1"/>
    </font>
    <font>
      <b/>
      <sz val="11"/>
      <color theme="1"/>
      <name val="Times New Roman"/>
      <family val="1"/>
    </font>
    <font>
      <sz val="12"/>
      <color theme="1"/>
      <name val="Times New Roman"/>
      <family val="1"/>
    </font>
    <font>
      <i/>
      <sz val="12"/>
      <color theme="1"/>
      <name val="Times New Roman"/>
      <family val="1"/>
    </font>
    <font>
      <vertAlign val="subscript"/>
      <sz val="12"/>
      <color theme="1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0" xfId="0" applyFont="1" applyAlignment="1">
      <alignment horizontal="center" vertical="center"/>
    </xf>
    <xf numFmtId="176" fontId="2" fillId="0" borderId="0" xfId="0" applyNumberFormat="1" applyFont="1" applyAlignment="1">
      <alignment horizontal="center" vertical="center"/>
    </xf>
    <xf numFmtId="177" fontId="2" fillId="0" borderId="0" xfId="0" applyNumberFormat="1" applyFont="1" applyAlignment="1">
      <alignment horizontal="center" vertical="center"/>
    </xf>
    <xf numFmtId="178" fontId="2" fillId="0" borderId="0" xfId="0" applyNumberFormat="1" applyFont="1" applyAlignment="1">
      <alignment horizontal="center" vertical="center"/>
    </xf>
    <xf numFmtId="176" fontId="4" fillId="0" borderId="0" xfId="0" applyNumberFormat="1" applyFont="1" applyAlignment="1">
      <alignment horizontal="center" vertical="center"/>
    </xf>
    <xf numFmtId="0" fontId="5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176" fontId="2" fillId="2" borderId="0" xfId="0" applyNumberFormat="1" applyFont="1" applyFill="1" applyAlignment="1">
      <alignment horizontal="center" vertical="center"/>
    </xf>
    <xf numFmtId="176" fontId="2" fillId="2" borderId="0" xfId="0" applyNumberFormat="1" applyFont="1" applyFill="1" applyAlignment="1">
      <alignment horizontal="center" vertical="center" wrapText="1"/>
    </xf>
    <xf numFmtId="177" fontId="2" fillId="2" borderId="0" xfId="0" applyNumberFormat="1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 wrapText="1"/>
    </xf>
    <xf numFmtId="0" fontId="5" fillId="2" borderId="0" xfId="0" applyFont="1" applyFill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5"/>
  <sheetViews>
    <sheetView zoomScale="175" zoomScaleNormal="175" workbookViewId="0">
      <selection activeCell="A9" sqref="A9:D9"/>
    </sheetView>
  </sheetViews>
  <sheetFormatPr defaultRowHeight="14.15" x14ac:dyDescent="0.35"/>
  <cols>
    <col min="1" max="1" width="9.140625" style="1"/>
    <col min="2" max="2" width="9.92578125" style="2" customWidth="1"/>
    <col min="3" max="3" width="10.2109375" style="2" customWidth="1"/>
    <col min="4" max="4" width="9.140625" style="2"/>
    <col min="5" max="16384" width="9.140625" style="1"/>
  </cols>
  <sheetData>
    <row r="1" spans="1:4" x14ac:dyDescent="0.35">
      <c r="A1" s="8" t="s">
        <v>5</v>
      </c>
      <c r="B1" s="9" t="s">
        <v>7</v>
      </c>
      <c r="C1" s="9" t="s">
        <v>8</v>
      </c>
      <c r="D1" s="9" t="s">
        <v>9</v>
      </c>
    </row>
    <row r="2" spans="1:4" ht="16.75" x14ac:dyDescent="0.35">
      <c r="A2" s="1" t="s">
        <v>10</v>
      </c>
      <c r="B2" s="2">
        <v>10.0648</v>
      </c>
      <c r="C2" s="2">
        <v>6.7433199999999998</v>
      </c>
      <c r="D2" s="2">
        <v>8.9594900000000006</v>
      </c>
    </row>
    <row r="3" spans="1:4" x14ac:dyDescent="0.35">
      <c r="A3" s="1" t="s">
        <v>1</v>
      </c>
      <c r="B3" s="2">
        <v>9.3032199999999996</v>
      </c>
      <c r="C3" s="2">
        <v>9.3032199999999996</v>
      </c>
      <c r="D3" s="2">
        <v>8.6192799999999998</v>
      </c>
    </row>
    <row r="4" spans="1:4" ht="16.75" x14ac:dyDescent="0.35">
      <c r="A4" s="1" t="s">
        <v>11</v>
      </c>
      <c r="B4" s="2">
        <v>11.572150000000001</v>
      </c>
      <c r="C4" s="2">
        <v>9.0254899999999996</v>
      </c>
      <c r="D4" s="2">
        <v>5.00427</v>
      </c>
    </row>
    <row r="5" spans="1:4" ht="16.75" x14ac:dyDescent="0.35">
      <c r="A5" s="1" t="s">
        <v>12</v>
      </c>
      <c r="B5" s="2">
        <v>9.4353300000000004</v>
      </c>
      <c r="C5" s="2">
        <v>8.5541499999999999</v>
      </c>
      <c r="D5" s="2">
        <v>5.6512900000000004</v>
      </c>
    </row>
    <row r="6" spans="1:4" ht="16.75" x14ac:dyDescent="0.35">
      <c r="A6" s="1" t="s">
        <v>13</v>
      </c>
      <c r="B6" s="2">
        <v>8.2979599999999998</v>
      </c>
      <c r="C6" s="2">
        <v>8.2979199999999995</v>
      </c>
      <c r="D6" s="2">
        <v>4.2999000000000001</v>
      </c>
    </row>
    <row r="7" spans="1:4" ht="16.75" x14ac:dyDescent="0.35">
      <c r="A7" s="1" t="s">
        <v>14</v>
      </c>
      <c r="B7" s="2">
        <v>6.8185700000000002</v>
      </c>
      <c r="C7" s="2">
        <v>6.8185700000000002</v>
      </c>
      <c r="D7" s="2">
        <v>8.9804999999999993</v>
      </c>
    </row>
    <row r="9" spans="1:4" x14ac:dyDescent="0.35">
      <c r="A9" s="8" t="s">
        <v>6</v>
      </c>
      <c r="B9" s="9" t="s">
        <v>7</v>
      </c>
      <c r="C9" s="9" t="s">
        <v>8</v>
      </c>
      <c r="D9" s="9" t="s">
        <v>9</v>
      </c>
    </row>
    <row r="10" spans="1:4" ht="16.75" x14ac:dyDescent="0.35">
      <c r="A10" s="1" t="s">
        <v>10</v>
      </c>
      <c r="B10" s="2">
        <v>10.04706</v>
      </c>
      <c r="C10" s="2">
        <v>6.7413400000000001</v>
      </c>
      <c r="D10" s="2">
        <v>8.9729700000000001</v>
      </c>
    </row>
    <row r="11" spans="1:4" x14ac:dyDescent="0.35">
      <c r="A11" s="1" t="s">
        <v>1</v>
      </c>
      <c r="B11" s="2">
        <v>9.1583799999999993</v>
      </c>
      <c r="C11" s="2">
        <v>9.1583699999999997</v>
      </c>
      <c r="D11" s="2">
        <v>8.70261</v>
      </c>
    </row>
    <row r="12" spans="1:4" ht="16.75" x14ac:dyDescent="0.35">
      <c r="A12" s="1" t="s">
        <v>11</v>
      </c>
      <c r="B12" s="2">
        <v>11.58539</v>
      </c>
      <c r="C12" s="2">
        <v>9.0465999999999998</v>
      </c>
      <c r="D12" s="2">
        <v>5.0149999999999997</v>
      </c>
    </row>
    <row r="13" spans="1:4" ht="16.75" x14ac:dyDescent="0.35">
      <c r="A13" s="1" t="s">
        <v>12</v>
      </c>
      <c r="B13" s="2">
        <v>9.3772099999999998</v>
      </c>
      <c r="C13" s="2">
        <v>8.6140899999999991</v>
      </c>
      <c r="D13" s="2">
        <v>5.6697199999999999</v>
      </c>
    </row>
    <row r="14" spans="1:4" ht="16.75" x14ac:dyDescent="0.35">
      <c r="A14" s="1" t="s">
        <v>13</v>
      </c>
      <c r="B14" s="2">
        <v>8.3032599999999999</v>
      </c>
      <c r="C14" s="2">
        <v>8.3032599999999999</v>
      </c>
      <c r="D14" s="2">
        <v>4.2934299999999999</v>
      </c>
    </row>
    <row r="15" spans="1:4" ht="16.75" x14ac:dyDescent="0.35">
      <c r="A15" s="1" t="s">
        <v>14</v>
      </c>
      <c r="B15" s="2">
        <v>6.8749900000000004</v>
      </c>
      <c r="C15" s="2">
        <v>6.8749900000000004</v>
      </c>
      <c r="D15" s="2">
        <v>8.7904699999999991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2125A2-0C67-412C-9765-72197F144F33}">
  <dimension ref="A1:J11"/>
  <sheetViews>
    <sheetView zoomScale="175" zoomScaleNormal="175" workbookViewId="0">
      <selection activeCell="A7" sqref="A7:XFD7"/>
    </sheetView>
  </sheetViews>
  <sheetFormatPr defaultRowHeight="14.15" x14ac:dyDescent="0.35"/>
  <cols>
    <col min="3" max="3" width="13.640625" customWidth="1"/>
    <col min="7" max="7" width="10.2109375" customWidth="1"/>
    <col min="8" max="8" width="10.0703125" customWidth="1"/>
    <col min="9" max="9" width="13.92578125" customWidth="1"/>
    <col min="10" max="10" width="14.5" customWidth="1"/>
  </cols>
  <sheetData>
    <row r="1" spans="1:10" s="8" customFormat="1" ht="42.45" x14ac:dyDescent="0.35">
      <c r="A1" s="8" t="s">
        <v>5</v>
      </c>
      <c r="B1" s="8" t="s">
        <v>21</v>
      </c>
      <c r="C1" s="10" t="s">
        <v>22</v>
      </c>
      <c r="D1" s="11" t="s">
        <v>15</v>
      </c>
      <c r="E1" s="11" t="s">
        <v>16</v>
      </c>
      <c r="F1" s="11"/>
      <c r="G1" s="10" t="s">
        <v>23</v>
      </c>
      <c r="H1" s="10" t="s">
        <v>24</v>
      </c>
      <c r="I1" s="12" t="s">
        <v>25</v>
      </c>
      <c r="J1" s="12" t="s">
        <v>26</v>
      </c>
    </row>
    <row r="2" spans="1:10" s="1" customFormat="1" x14ac:dyDescent="0.35">
      <c r="A2" s="1" t="s">
        <v>0</v>
      </c>
      <c r="B2" s="1" t="s">
        <v>17</v>
      </c>
      <c r="C2" s="2">
        <v>-550.45388000000003</v>
      </c>
      <c r="D2" s="3">
        <v>48</v>
      </c>
      <c r="E2" s="3">
        <v>16</v>
      </c>
      <c r="F2" s="3">
        <f t="shared" ref="F2:F5" si="0">D2+E2</f>
        <v>64</v>
      </c>
      <c r="G2" s="2">
        <v>-8.4567343749999999</v>
      </c>
      <c r="H2" s="2">
        <v>-9.2260000000000009</v>
      </c>
      <c r="I2" s="4">
        <f>(C2-D2*G2-E2*H2)/F2</f>
        <v>4.8208906249999739E-2</v>
      </c>
      <c r="J2" s="5">
        <f>I2*1000</f>
        <v>48.208906249999742</v>
      </c>
    </row>
    <row r="3" spans="1:10" s="1" customFormat="1" x14ac:dyDescent="0.35">
      <c r="A3" s="1" t="s">
        <v>2</v>
      </c>
      <c r="B3" s="1" t="s">
        <v>18</v>
      </c>
      <c r="C3" s="2">
        <v>-483.03791999999999</v>
      </c>
      <c r="D3" s="3">
        <v>40</v>
      </c>
      <c r="E3" s="3">
        <v>16</v>
      </c>
      <c r="F3" s="3">
        <f t="shared" si="0"/>
        <v>56</v>
      </c>
      <c r="G3" s="2">
        <v>-8.4567343749999999</v>
      </c>
      <c r="H3" s="2">
        <v>-9.2260000000000009</v>
      </c>
      <c r="I3" s="4">
        <f t="shared" ref="I3:I5" si="1">(C3-D3*G3-E3*H3)/F3</f>
        <v>5.0847410714285654E-2</v>
      </c>
      <c r="J3" s="5">
        <f t="shared" ref="J3:J11" si="2">I3*1000</f>
        <v>50.847410714285651</v>
      </c>
    </row>
    <row r="4" spans="1:10" s="1" customFormat="1" x14ac:dyDescent="0.35">
      <c r="A4" s="1" t="s">
        <v>3</v>
      </c>
      <c r="B4" s="1" t="s">
        <v>19</v>
      </c>
      <c r="C4" s="2">
        <v>-415.60849000000002</v>
      </c>
      <c r="D4" s="3">
        <v>32</v>
      </c>
      <c r="E4" s="3">
        <v>16</v>
      </c>
      <c r="F4" s="3">
        <f t="shared" si="0"/>
        <v>48</v>
      </c>
      <c r="G4" s="2">
        <v>-8.4567343749999999</v>
      </c>
      <c r="H4" s="2">
        <v>-9.2260000000000009</v>
      </c>
      <c r="I4" s="4">
        <f t="shared" si="1"/>
        <v>5.4646041666666534E-2</v>
      </c>
      <c r="J4" s="5">
        <f t="shared" si="2"/>
        <v>54.646041666666534</v>
      </c>
    </row>
    <row r="5" spans="1:10" s="1" customFormat="1" x14ac:dyDescent="0.35">
      <c r="A5" s="1" t="s">
        <v>4</v>
      </c>
      <c r="B5" s="1" t="s">
        <v>20</v>
      </c>
      <c r="C5" s="2">
        <v>-344.50952999999998</v>
      </c>
      <c r="D5" s="3">
        <v>28</v>
      </c>
      <c r="E5" s="3">
        <v>12</v>
      </c>
      <c r="F5" s="3">
        <f t="shared" si="0"/>
        <v>40</v>
      </c>
      <c r="G5" s="2">
        <v>-8.4567343749999999</v>
      </c>
      <c r="H5" s="2">
        <v>-9.2260000000000009</v>
      </c>
      <c r="I5" s="4">
        <f t="shared" si="1"/>
        <v>7.4775812500001135E-2</v>
      </c>
      <c r="J5" s="5">
        <f t="shared" si="2"/>
        <v>74.775812500001138</v>
      </c>
    </row>
    <row r="6" spans="1:10" s="1" customFormat="1" x14ac:dyDescent="0.35">
      <c r="C6" s="2"/>
      <c r="D6" s="3"/>
      <c r="E6" s="3"/>
      <c r="F6" s="3"/>
      <c r="G6" s="2"/>
      <c r="H6" s="2"/>
      <c r="I6" s="4"/>
      <c r="J6" s="2"/>
    </row>
    <row r="7" spans="1:10" s="8" customFormat="1" ht="42.45" x14ac:dyDescent="0.35">
      <c r="A7" s="8" t="s">
        <v>6</v>
      </c>
      <c r="B7" s="8" t="s">
        <v>21</v>
      </c>
      <c r="C7" s="10" t="s">
        <v>22</v>
      </c>
      <c r="D7" s="11" t="s">
        <v>15</v>
      </c>
      <c r="E7" s="11" t="s">
        <v>16</v>
      </c>
      <c r="F7" s="11"/>
      <c r="G7" s="10" t="s">
        <v>23</v>
      </c>
      <c r="H7" s="10" t="s">
        <v>24</v>
      </c>
      <c r="I7" s="12" t="s">
        <v>25</v>
      </c>
      <c r="J7" s="12" t="s">
        <v>26</v>
      </c>
    </row>
    <row r="8" spans="1:10" s="1" customFormat="1" x14ac:dyDescent="0.35">
      <c r="A8" s="1" t="s">
        <v>0</v>
      </c>
      <c r="B8" s="1" t="s">
        <v>17</v>
      </c>
      <c r="C8" s="2">
        <v>-549.68121022570006</v>
      </c>
      <c r="D8" s="3">
        <v>48</v>
      </c>
      <c r="E8" s="3">
        <v>16</v>
      </c>
      <c r="F8" s="3">
        <f t="shared" ref="F8:F11" si="3">D8+E8</f>
        <v>64</v>
      </c>
      <c r="G8" s="2">
        <v>-8.4567343749999999</v>
      </c>
      <c r="H8" s="2">
        <v>-9.2260000000000009</v>
      </c>
      <c r="I8" s="4">
        <f t="shared" ref="I8:I11" si="4">(C8-D8*G8-E8*H8)/F8</f>
        <v>6.0281871473436777E-2</v>
      </c>
      <c r="J8" s="5">
        <f t="shared" si="2"/>
        <v>60.28187147343678</v>
      </c>
    </row>
    <row r="9" spans="1:10" s="1" customFormat="1" x14ac:dyDescent="0.35">
      <c r="A9" s="1" t="s">
        <v>2</v>
      </c>
      <c r="B9" s="1" t="s">
        <v>18</v>
      </c>
      <c r="C9" s="2">
        <v>-482.1988777551</v>
      </c>
      <c r="D9" s="3">
        <v>40</v>
      </c>
      <c r="E9" s="3">
        <v>16</v>
      </c>
      <c r="F9" s="3">
        <f t="shared" si="3"/>
        <v>56</v>
      </c>
      <c r="G9" s="2">
        <v>-8.4567343749999999</v>
      </c>
      <c r="H9" s="2">
        <v>-9.2260000000000009</v>
      </c>
      <c r="I9" s="4">
        <f t="shared" si="4"/>
        <v>6.5830307944642535E-2</v>
      </c>
      <c r="J9" s="5">
        <f t="shared" si="2"/>
        <v>65.830307944642541</v>
      </c>
    </row>
    <row r="10" spans="1:10" s="1" customFormat="1" x14ac:dyDescent="0.35">
      <c r="A10" s="1" t="s">
        <v>3</v>
      </c>
      <c r="B10" s="1" t="s">
        <v>19</v>
      </c>
      <c r="C10" s="2">
        <v>-415.02754403934</v>
      </c>
      <c r="D10" s="3">
        <v>32</v>
      </c>
      <c r="E10" s="3">
        <v>16</v>
      </c>
      <c r="F10" s="3">
        <f t="shared" si="3"/>
        <v>48</v>
      </c>
      <c r="G10" s="2">
        <v>-8.4567343749999999</v>
      </c>
      <c r="H10" s="2">
        <v>-9.2260000000000009</v>
      </c>
      <c r="I10" s="4">
        <f t="shared" si="4"/>
        <v>6.6749082513750224E-2</v>
      </c>
      <c r="J10" s="5">
        <f t="shared" si="2"/>
        <v>66.749082513750224</v>
      </c>
    </row>
    <row r="11" spans="1:10" s="1" customFormat="1" x14ac:dyDescent="0.35">
      <c r="A11" s="1" t="s">
        <v>4</v>
      </c>
      <c r="B11" s="1" t="s">
        <v>20</v>
      </c>
      <c r="C11" s="2">
        <v>-344.08069798610001</v>
      </c>
      <c r="D11" s="3">
        <v>28</v>
      </c>
      <c r="E11" s="3">
        <v>12</v>
      </c>
      <c r="F11" s="3">
        <f t="shared" si="3"/>
        <v>40</v>
      </c>
      <c r="G11" s="2">
        <v>-8.4567343749999999</v>
      </c>
      <c r="H11" s="2">
        <v>-9.2260000000000009</v>
      </c>
      <c r="I11" s="4">
        <f t="shared" si="4"/>
        <v>8.5496612847500583E-2</v>
      </c>
      <c r="J11" s="5">
        <f t="shared" si="2"/>
        <v>85.496612847500586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82DC6E-4DA6-4B9A-84F3-052FD7DFAE49}">
  <dimension ref="A1:Q23"/>
  <sheetViews>
    <sheetView tabSelected="1" topLeftCell="H1" zoomScale="175" zoomScaleNormal="175" workbookViewId="0">
      <selection activeCell="K6" sqref="K6"/>
    </sheetView>
  </sheetViews>
  <sheetFormatPr defaultRowHeight="14.15" x14ac:dyDescent="0.35"/>
  <cols>
    <col min="1" max="1" width="16.42578125" style="7" customWidth="1"/>
    <col min="2" max="2" width="13.140625" style="2" customWidth="1"/>
    <col min="3" max="5" width="5" style="3" customWidth="1"/>
    <col min="6" max="6" width="7.78515625" style="2" customWidth="1"/>
    <col min="7" max="7" width="10" style="2" customWidth="1"/>
    <col min="8" max="8" width="11.78515625" style="2" customWidth="1"/>
    <col min="9" max="9" width="8.35546875" style="2" customWidth="1"/>
    <col min="10" max="10" width="16.42578125" style="7" customWidth="1"/>
    <col min="11" max="11" width="13.5703125" style="2" customWidth="1"/>
    <col min="12" max="14" width="5" style="1" customWidth="1"/>
    <col min="15" max="15" width="10.28515625" style="2" customWidth="1"/>
    <col min="16" max="16" width="10.640625" style="1" customWidth="1"/>
    <col min="17" max="17" width="12.0703125" style="2" customWidth="1"/>
    <col min="18" max="16384" width="9.140625" style="1"/>
  </cols>
  <sheetData>
    <row r="1" spans="1:17" ht="42.45" x14ac:dyDescent="0.35">
      <c r="A1" s="13" t="s">
        <v>42</v>
      </c>
      <c r="B1" s="10" t="s">
        <v>22</v>
      </c>
      <c r="C1" s="11" t="s">
        <v>15</v>
      </c>
      <c r="D1" s="11" t="s">
        <v>16</v>
      </c>
      <c r="E1" s="11"/>
      <c r="F1" s="10" t="s">
        <v>23</v>
      </c>
      <c r="G1" s="10" t="s">
        <v>24</v>
      </c>
      <c r="H1" s="10" t="s">
        <v>25</v>
      </c>
      <c r="J1" s="13" t="s">
        <v>41</v>
      </c>
      <c r="K1" s="10" t="s">
        <v>22</v>
      </c>
      <c r="L1" s="9" t="s">
        <v>15</v>
      </c>
      <c r="M1" s="9" t="s">
        <v>16</v>
      </c>
      <c r="N1" s="9"/>
      <c r="O1" s="10" t="s">
        <v>23</v>
      </c>
      <c r="P1" s="10" t="s">
        <v>24</v>
      </c>
      <c r="Q1" s="12" t="s">
        <v>25</v>
      </c>
    </row>
    <row r="2" spans="1:17" ht="15.45" x14ac:dyDescent="0.35">
      <c r="A2" s="6" t="s">
        <v>27</v>
      </c>
      <c r="B2" s="2">
        <v>-429.64647000000002</v>
      </c>
      <c r="C2" s="3">
        <v>48</v>
      </c>
      <c r="D2" s="3">
        <v>3</v>
      </c>
      <c r="E2" s="3">
        <f t="shared" ref="E2:E15" si="0">C2+D2</f>
        <v>51</v>
      </c>
      <c r="F2" s="2">
        <v>-8.4567343749999999</v>
      </c>
      <c r="G2" s="2">
        <v>-9.2260000000000009</v>
      </c>
      <c r="H2" s="2">
        <f>(B2-C2*F2-D2*G2)/E2</f>
        <v>7.7544705882352516E-2</v>
      </c>
      <c r="J2" s="6" t="s">
        <v>27</v>
      </c>
      <c r="K2" s="2">
        <v>-428.94515082480001</v>
      </c>
      <c r="L2" s="1">
        <v>48</v>
      </c>
      <c r="M2" s="1">
        <v>3</v>
      </c>
      <c r="N2" s="1">
        <f t="shared" ref="N2:N15" si="1">L2+M2</f>
        <v>51</v>
      </c>
      <c r="O2" s="2">
        <v>-8.4567343749999999</v>
      </c>
      <c r="P2" s="2">
        <v>-9.2260000000000009</v>
      </c>
      <c r="Q2" s="2">
        <f>(K2-L2*O2-M2*P2)/N2</f>
        <v>9.1296062258823349E-2</v>
      </c>
    </row>
    <row r="3" spans="1:17" ht="15.45" x14ac:dyDescent="0.35">
      <c r="A3" s="6" t="s">
        <v>28</v>
      </c>
      <c r="B3" s="2">
        <v>-438.85752000000002</v>
      </c>
      <c r="C3" s="3">
        <v>48</v>
      </c>
      <c r="D3" s="3">
        <v>4</v>
      </c>
      <c r="E3" s="3">
        <f t="shared" si="0"/>
        <v>52</v>
      </c>
      <c r="F3" s="2">
        <v>-8.4567343749999999</v>
      </c>
      <c r="G3" s="2">
        <v>-9.2260000000000009</v>
      </c>
      <c r="H3" s="2">
        <f>(B3-C3*F3-D3*G3)/E3</f>
        <v>7.6340961538461094E-2</v>
      </c>
      <c r="J3" s="6" t="s">
        <v>28</v>
      </c>
      <c r="K3" s="2">
        <v>-438.14302764209998</v>
      </c>
      <c r="L3" s="1">
        <v>48</v>
      </c>
      <c r="M3" s="1">
        <v>4</v>
      </c>
      <c r="N3" s="1">
        <f t="shared" si="1"/>
        <v>52</v>
      </c>
      <c r="O3" s="2">
        <v>-8.4567343749999999</v>
      </c>
      <c r="P3" s="2">
        <v>-9.2260000000000009</v>
      </c>
      <c r="Q3" s="2">
        <f t="shared" ref="Q3:Q15" si="2">(K3-L3*O3-M3*P3)/N3</f>
        <v>9.0081199190384986E-2</v>
      </c>
    </row>
    <row r="4" spans="1:17" ht="15.45" x14ac:dyDescent="0.35">
      <c r="A4" s="6" t="s">
        <v>29</v>
      </c>
      <c r="B4" s="2">
        <v>-446.83222000000001</v>
      </c>
      <c r="C4" s="3">
        <v>48</v>
      </c>
      <c r="D4" s="3">
        <v>5</v>
      </c>
      <c r="E4" s="3">
        <f t="shared" si="0"/>
        <v>53</v>
      </c>
      <c r="F4" s="2">
        <v>-8.4567343749999999</v>
      </c>
      <c r="G4" s="2">
        <v>-9.2260000000000009</v>
      </c>
      <c r="H4" s="2">
        <f>(B4-C4*F4-D4*G4)/E4</f>
        <v>9.8509999999999848E-2</v>
      </c>
      <c r="J4" s="6" t="s">
        <v>29</v>
      </c>
      <c r="K4" s="2">
        <v>-446.5257714334</v>
      </c>
      <c r="L4" s="1">
        <v>48</v>
      </c>
      <c r="M4" s="1">
        <v>5</v>
      </c>
      <c r="N4" s="1">
        <f t="shared" si="1"/>
        <v>53</v>
      </c>
      <c r="O4" s="2">
        <v>-8.4567343749999999</v>
      </c>
      <c r="P4" s="2">
        <v>-9.2260000000000009</v>
      </c>
      <c r="Q4" s="2">
        <f t="shared" si="2"/>
        <v>0.10429204842641515</v>
      </c>
    </row>
    <row r="5" spans="1:17" ht="15.45" x14ac:dyDescent="0.35">
      <c r="A5" s="6" t="s">
        <v>30</v>
      </c>
      <c r="B5" s="2">
        <v>-456.77947</v>
      </c>
      <c r="C5" s="3">
        <v>48</v>
      </c>
      <c r="D5" s="3">
        <v>6</v>
      </c>
      <c r="E5" s="3">
        <f t="shared" si="0"/>
        <v>54</v>
      </c>
      <c r="F5" s="2">
        <v>-8.4567343749999999</v>
      </c>
      <c r="G5" s="2">
        <v>-9.2260000000000009</v>
      </c>
      <c r="H5" s="2">
        <f>(B5-C5*F5-D5*G5)/E5</f>
        <v>8.3329259259259283E-2</v>
      </c>
      <c r="J5" s="6" t="s">
        <v>30</v>
      </c>
      <c r="K5" s="2">
        <v>-456.21178748160003</v>
      </c>
      <c r="L5" s="1">
        <v>48</v>
      </c>
      <c r="M5" s="1">
        <v>6</v>
      </c>
      <c r="N5" s="1">
        <f t="shared" si="1"/>
        <v>54</v>
      </c>
      <c r="O5" s="2">
        <v>-8.4567343749999999</v>
      </c>
      <c r="P5" s="2">
        <v>-9.2260000000000009</v>
      </c>
      <c r="Q5" s="2">
        <f t="shared" si="2"/>
        <v>9.3841898488888478E-2</v>
      </c>
    </row>
    <row r="6" spans="1:17" ht="15.45" x14ac:dyDescent="0.35">
      <c r="A6" s="6" t="s">
        <v>31</v>
      </c>
      <c r="B6" s="2">
        <v>-464.25808999999998</v>
      </c>
      <c r="C6" s="3">
        <v>48</v>
      </c>
      <c r="D6" s="3">
        <v>7</v>
      </c>
      <c r="E6" s="3">
        <f t="shared" si="0"/>
        <v>55</v>
      </c>
      <c r="F6" s="2">
        <v>-8.4567343749999999</v>
      </c>
      <c r="G6" s="2">
        <v>-9.2260000000000009</v>
      </c>
      <c r="H6" s="2">
        <f>(B6-C6*F6-D6*G6)/E6</f>
        <v>0.11358472727272768</v>
      </c>
      <c r="J6" s="6" t="s">
        <v>31</v>
      </c>
      <c r="K6" s="2">
        <v>-463.85355420910003</v>
      </c>
      <c r="L6" s="1">
        <v>48</v>
      </c>
      <c r="M6" s="1">
        <v>7</v>
      </c>
      <c r="N6" s="1">
        <f t="shared" si="1"/>
        <v>55</v>
      </c>
      <c r="O6" s="2">
        <v>-8.4567343749999999</v>
      </c>
      <c r="P6" s="2">
        <v>-9.2260000000000009</v>
      </c>
      <c r="Q6" s="2">
        <f t="shared" si="2"/>
        <v>0.12093992347090871</v>
      </c>
    </row>
    <row r="7" spans="1:17" ht="15.45" x14ac:dyDescent="0.35">
      <c r="A7" s="6" t="s">
        <v>32</v>
      </c>
      <c r="B7" s="2">
        <v>-473.52816999999999</v>
      </c>
      <c r="C7" s="3">
        <v>48</v>
      </c>
      <c r="D7" s="3">
        <v>8</v>
      </c>
      <c r="E7" s="3">
        <f t="shared" si="0"/>
        <v>56</v>
      </c>
      <c r="F7" s="2">
        <v>-8.4567343749999999</v>
      </c>
      <c r="G7" s="2">
        <v>-9.2260000000000009</v>
      </c>
      <c r="H7" s="2">
        <f>(B7-C7*F7-D7*G7)/E7</f>
        <v>0.11076928571428597</v>
      </c>
      <c r="J7" s="6" t="s">
        <v>32</v>
      </c>
      <c r="K7" s="2">
        <v>-473.01968019949999</v>
      </c>
      <c r="L7" s="1">
        <v>48</v>
      </c>
      <c r="M7" s="1">
        <v>8</v>
      </c>
      <c r="N7" s="1">
        <f t="shared" si="1"/>
        <v>56</v>
      </c>
      <c r="O7" s="2">
        <v>-8.4567343749999999</v>
      </c>
      <c r="P7" s="2">
        <v>-9.2260000000000009</v>
      </c>
      <c r="Q7" s="2">
        <f t="shared" si="2"/>
        <v>0.11984946072321456</v>
      </c>
    </row>
    <row r="8" spans="1:17" ht="15.45" x14ac:dyDescent="0.35">
      <c r="A8" s="6" t="s">
        <v>33</v>
      </c>
      <c r="B8" s="2">
        <v>-482.53766999999999</v>
      </c>
      <c r="C8" s="3">
        <v>48</v>
      </c>
      <c r="D8" s="3">
        <v>9</v>
      </c>
      <c r="E8" s="3">
        <f t="shared" si="0"/>
        <v>57</v>
      </c>
      <c r="F8" s="2">
        <v>-8.4567343749999999</v>
      </c>
      <c r="G8" s="2">
        <v>-9.2260000000000009</v>
      </c>
      <c r="H8" s="2">
        <f>(B8-C8*F8-D8*G8)/E8</f>
        <v>0.11262421052631598</v>
      </c>
      <c r="J8" s="6" t="s">
        <v>33</v>
      </c>
      <c r="K8" s="2">
        <v>-481.96661557499999</v>
      </c>
      <c r="L8" s="1">
        <v>48</v>
      </c>
      <c r="M8" s="1">
        <v>9</v>
      </c>
      <c r="N8" s="1">
        <f t="shared" si="1"/>
        <v>57</v>
      </c>
      <c r="O8" s="2">
        <v>-8.4567343749999999</v>
      </c>
      <c r="P8" s="2">
        <v>-9.2260000000000009</v>
      </c>
      <c r="Q8" s="2">
        <f t="shared" si="2"/>
        <v>0.1226427092105265</v>
      </c>
    </row>
    <row r="9" spans="1:17" ht="15.45" x14ac:dyDescent="0.35">
      <c r="A9" s="6" t="s">
        <v>34</v>
      </c>
      <c r="B9" s="2">
        <v>-491.88600000000002</v>
      </c>
      <c r="C9" s="3">
        <v>48</v>
      </c>
      <c r="D9" s="3">
        <v>10</v>
      </c>
      <c r="E9" s="3">
        <f t="shared" si="0"/>
        <v>58</v>
      </c>
      <c r="F9" s="2">
        <v>-8.4567343749999999</v>
      </c>
      <c r="G9" s="2">
        <v>-9.2260000000000009</v>
      </c>
      <c r="H9" s="2">
        <f>(B9-C9*F9-D9*G9)/E9</f>
        <v>0.10857327586206857</v>
      </c>
      <c r="J9" s="6" t="s">
        <v>34</v>
      </c>
      <c r="K9" s="2">
        <v>-491.34825156229999</v>
      </c>
      <c r="L9" s="1">
        <v>48</v>
      </c>
      <c r="M9" s="1">
        <v>10</v>
      </c>
      <c r="N9" s="1">
        <f t="shared" si="1"/>
        <v>58</v>
      </c>
      <c r="O9" s="2">
        <v>-8.4567343749999999</v>
      </c>
      <c r="P9" s="2">
        <v>-9.2260000000000009</v>
      </c>
      <c r="Q9" s="2">
        <f t="shared" si="2"/>
        <v>0.11784480065000015</v>
      </c>
    </row>
    <row r="10" spans="1:17" ht="15.45" x14ac:dyDescent="0.35">
      <c r="A10" s="6" t="s">
        <v>35</v>
      </c>
      <c r="B10" s="2">
        <v>-501.53377</v>
      </c>
      <c r="C10" s="3">
        <v>48</v>
      </c>
      <c r="D10" s="3">
        <v>11</v>
      </c>
      <c r="E10" s="3">
        <f t="shared" si="0"/>
        <v>59</v>
      </c>
      <c r="F10" s="2">
        <v>-8.4567343749999999</v>
      </c>
      <c r="G10" s="2">
        <v>-9.2260000000000009</v>
      </c>
      <c r="H10" s="2">
        <f>(B10-C10*F10-D10*G10)/E10</f>
        <v>9.9584406779660947E-2</v>
      </c>
      <c r="J10" s="6" t="s">
        <v>35</v>
      </c>
      <c r="K10" s="2">
        <v>-501.28741756429997</v>
      </c>
      <c r="L10" s="1">
        <v>48</v>
      </c>
      <c r="M10" s="1">
        <v>11</v>
      </c>
      <c r="N10" s="1">
        <f t="shared" si="1"/>
        <v>59</v>
      </c>
      <c r="O10" s="2">
        <v>-8.4567343749999999</v>
      </c>
      <c r="P10" s="2">
        <v>-9.2260000000000009</v>
      </c>
      <c r="Q10" s="2">
        <f t="shared" si="2"/>
        <v>0.1037598717915259</v>
      </c>
    </row>
    <row r="11" spans="1:17" ht="15.45" x14ac:dyDescent="0.35">
      <c r="A11" s="6" t="s">
        <v>36</v>
      </c>
      <c r="B11" s="2">
        <v>-511.24209000000002</v>
      </c>
      <c r="C11" s="3">
        <v>48</v>
      </c>
      <c r="D11" s="3">
        <v>12</v>
      </c>
      <c r="E11" s="3">
        <f t="shared" si="0"/>
        <v>60</v>
      </c>
      <c r="F11" s="2">
        <v>-8.4567343749999999</v>
      </c>
      <c r="G11" s="2">
        <v>-9.2260000000000009</v>
      </c>
      <c r="H11" s="2">
        <f>(B11-C11*F11-D11*G11)/E11</f>
        <v>8.988599999999991E-2</v>
      </c>
      <c r="J11" s="6" t="s">
        <v>36</v>
      </c>
      <c r="K11" s="2">
        <v>-510.9423260845</v>
      </c>
      <c r="L11" s="1">
        <v>48</v>
      </c>
      <c r="M11" s="1">
        <v>12</v>
      </c>
      <c r="N11" s="1">
        <f t="shared" si="1"/>
        <v>60</v>
      </c>
      <c r="O11" s="2">
        <v>-8.4567343749999999</v>
      </c>
      <c r="P11" s="2">
        <v>-9.2260000000000009</v>
      </c>
      <c r="Q11" s="2">
        <f t="shared" si="2"/>
        <v>9.488206525833362E-2</v>
      </c>
    </row>
    <row r="12" spans="1:17" ht="15.45" x14ac:dyDescent="0.35">
      <c r="A12" s="6" t="s">
        <v>37</v>
      </c>
      <c r="B12" s="2">
        <v>-521.01093000000003</v>
      </c>
      <c r="C12" s="3">
        <v>48</v>
      </c>
      <c r="D12" s="3">
        <v>13</v>
      </c>
      <c r="E12" s="3">
        <f t="shared" si="0"/>
        <v>61</v>
      </c>
      <c r="F12" s="2">
        <v>-8.4567343749999999</v>
      </c>
      <c r="G12" s="2">
        <v>-9.2260000000000009</v>
      </c>
      <c r="H12" s="2">
        <f>(B12-C12*F12-D12*G12)/E12</f>
        <v>7.9513442622950528E-2</v>
      </c>
      <c r="J12" s="6" t="s">
        <v>37</v>
      </c>
      <c r="K12" s="2">
        <v>-520.70435535239994</v>
      </c>
      <c r="L12" s="1">
        <v>48</v>
      </c>
      <c r="M12" s="1">
        <v>13</v>
      </c>
      <c r="N12" s="1">
        <f t="shared" si="1"/>
        <v>61</v>
      </c>
      <c r="O12" s="2">
        <v>-8.4567343749999999</v>
      </c>
      <c r="P12" s="2">
        <v>-9.2260000000000009</v>
      </c>
      <c r="Q12" s="2">
        <f t="shared" si="2"/>
        <v>8.4539256518033915E-2</v>
      </c>
    </row>
    <row r="13" spans="1:17" ht="15.45" x14ac:dyDescent="0.35">
      <c r="A13" s="6" t="s">
        <v>38</v>
      </c>
      <c r="B13" s="2">
        <v>-530.88517999999999</v>
      </c>
      <c r="C13" s="3">
        <v>48</v>
      </c>
      <c r="D13" s="3">
        <v>14</v>
      </c>
      <c r="E13" s="3">
        <f t="shared" si="0"/>
        <v>62</v>
      </c>
      <c r="F13" s="2">
        <v>-8.4567343749999999</v>
      </c>
      <c r="G13" s="2">
        <v>-9.2260000000000009</v>
      </c>
      <c r="H13" s="2">
        <f>(B13-C13*F13-D13*G13)/E13</f>
        <v>6.7775322580645489E-2</v>
      </c>
      <c r="J13" s="6" t="s">
        <v>38</v>
      </c>
      <c r="K13" s="2">
        <v>-530.4450606268</v>
      </c>
      <c r="L13" s="1">
        <v>48</v>
      </c>
      <c r="M13" s="1">
        <v>14</v>
      </c>
      <c r="N13" s="1">
        <f t="shared" si="1"/>
        <v>62</v>
      </c>
      <c r="O13" s="2">
        <v>-8.4567343749999999</v>
      </c>
      <c r="P13" s="2">
        <v>-9.2260000000000009</v>
      </c>
      <c r="Q13" s="2">
        <f t="shared" si="2"/>
        <v>7.4874022148387287E-2</v>
      </c>
    </row>
    <row r="14" spans="1:17" ht="15.45" x14ac:dyDescent="0.35">
      <c r="A14" s="6" t="s">
        <v>39</v>
      </c>
      <c r="B14" s="2">
        <v>-540.67349999999999</v>
      </c>
      <c r="C14" s="3">
        <v>48</v>
      </c>
      <c r="D14" s="3">
        <v>15</v>
      </c>
      <c r="E14" s="3">
        <f t="shared" si="0"/>
        <v>63</v>
      </c>
      <c r="F14" s="2">
        <v>-8.4567343749999999</v>
      </c>
      <c r="G14" s="2">
        <v>-9.2260000000000009</v>
      </c>
      <c r="H14" s="2">
        <f>(B14-C14*F14-D14*G14)/E14</f>
        <v>5.7773809523809852E-2</v>
      </c>
      <c r="J14" s="6" t="s">
        <v>39</v>
      </c>
      <c r="K14" s="2">
        <v>-540.27676142370001</v>
      </c>
      <c r="L14" s="1">
        <v>48</v>
      </c>
      <c r="M14" s="1">
        <v>15</v>
      </c>
      <c r="N14" s="1">
        <f t="shared" si="1"/>
        <v>63</v>
      </c>
      <c r="O14" s="2">
        <v>-8.4567343749999999</v>
      </c>
      <c r="P14" s="2">
        <v>-9.2260000000000009</v>
      </c>
      <c r="Q14" s="2">
        <f t="shared" si="2"/>
        <v>6.4071247242857177E-2</v>
      </c>
    </row>
    <row r="15" spans="1:17" ht="15.45" x14ac:dyDescent="0.35">
      <c r="A15" s="6" t="s">
        <v>40</v>
      </c>
      <c r="B15" s="2">
        <v>-550.40737000000001</v>
      </c>
      <c r="C15" s="3">
        <v>48</v>
      </c>
      <c r="D15" s="3">
        <v>16</v>
      </c>
      <c r="E15" s="3">
        <f t="shared" si="0"/>
        <v>64</v>
      </c>
      <c r="F15" s="2">
        <v>-8.4567343749999999</v>
      </c>
      <c r="G15" s="2">
        <v>-9.2260000000000009</v>
      </c>
      <c r="H15" s="2">
        <f>(B15-C15*F15-D15*G15)/E15</f>
        <v>4.8935624999999927E-2</v>
      </c>
      <c r="J15" s="6" t="s">
        <v>40</v>
      </c>
      <c r="K15" s="2">
        <v>-550.11795710089996</v>
      </c>
      <c r="L15" s="1">
        <v>48</v>
      </c>
      <c r="M15" s="1">
        <v>16</v>
      </c>
      <c r="N15" s="1">
        <f t="shared" si="1"/>
        <v>64</v>
      </c>
      <c r="O15" s="2">
        <v>-8.4567343749999999</v>
      </c>
      <c r="P15" s="2">
        <v>-9.2260000000000009</v>
      </c>
      <c r="Q15" s="2">
        <f t="shared" si="2"/>
        <v>5.3457701548438319E-2</v>
      </c>
    </row>
    <row r="16" spans="1:17" ht="15.45" x14ac:dyDescent="0.35">
      <c r="A16" s="6"/>
      <c r="J16" s="6"/>
      <c r="P16" s="2"/>
    </row>
    <row r="17" spans="1:16" ht="15.45" x14ac:dyDescent="0.35">
      <c r="A17" s="6"/>
      <c r="J17" s="6"/>
      <c r="P17" s="2"/>
    </row>
    <row r="18" spans="1:16" ht="15.45" x14ac:dyDescent="0.35">
      <c r="A18" s="6"/>
      <c r="J18" s="6"/>
      <c r="P18" s="2"/>
    </row>
    <row r="19" spans="1:16" ht="15.45" x14ac:dyDescent="0.35">
      <c r="A19" s="6"/>
      <c r="J19" s="6"/>
      <c r="P19" s="2"/>
    </row>
    <row r="20" spans="1:16" ht="15.45" x14ac:dyDescent="0.35">
      <c r="A20" s="6"/>
      <c r="J20" s="6"/>
      <c r="P20" s="2"/>
    </row>
    <row r="21" spans="1:16" ht="15.45" x14ac:dyDescent="0.35">
      <c r="A21" s="6"/>
      <c r="J21" s="6"/>
      <c r="P21" s="2"/>
    </row>
    <row r="22" spans="1:16" ht="15.45" x14ac:dyDescent="0.35">
      <c r="A22" s="6"/>
      <c r="J22" s="6"/>
      <c r="P22" s="2"/>
    </row>
    <row r="23" spans="1:16" ht="15.45" x14ac:dyDescent="0.35">
      <c r="A23" s="6"/>
      <c r="J23" s="6"/>
      <c r="P23" s="2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Lattice</vt:lpstr>
      <vt:lpstr>Orded_iron-carbide</vt:lpstr>
      <vt:lpstr>Disorded_iron-carbide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liying An</dc:creator>
  <cp:lastModifiedBy>liying An</cp:lastModifiedBy>
  <dcterms:created xsi:type="dcterms:W3CDTF">2015-06-05T18:19:34Z</dcterms:created>
  <dcterms:modified xsi:type="dcterms:W3CDTF">2026-07-29T12:05:34Z</dcterms:modified>
</cp:coreProperties>
</file>